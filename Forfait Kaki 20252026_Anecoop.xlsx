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Oficina CHF\Costos\Vanessa\Cierre kaki 25-26\"/>
    </mc:Choice>
  </mc:AlternateContent>
  <xr:revisionPtr revIDLastSave="0" documentId="13_ncr:1_{E252F3CA-AA08-4546-AC41-11A164613678}" xr6:coauthVersionLast="47" xr6:coauthVersionMax="47" xr10:uidLastSave="{00000000-0000-0000-0000-000000000000}"/>
  <bookViews>
    <workbookView xWindow="0" yWindow="360" windowWidth="29040" windowHeight="15720" xr2:uid="{BC279793-AB73-4B83-AE3D-0ADA9BF701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H20" i="1"/>
  <c r="G20" i="1"/>
  <c r="G24" i="1" s="1"/>
  <c r="F20" i="1"/>
  <c r="E20" i="1"/>
  <c r="D20" i="1"/>
  <c r="C20" i="1"/>
  <c r="B20" i="1"/>
  <c r="I10" i="1"/>
  <c r="I24" i="1" s="1"/>
  <c r="H10" i="1"/>
  <c r="H24" i="1" s="1"/>
  <c r="G10" i="1"/>
  <c r="F10" i="1"/>
  <c r="E10" i="1"/>
  <c r="D10" i="1"/>
  <c r="C10" i="1"/>
  <c r="B10" i="1"/>
  <c r="D24" i="1" l="1"/>
  <c r="E24" i="1"/>
  <c r="C24" i="1"/>
  <c r="F24" i="1"/>
  <c r="B24" i="1"/>
</calcChain>
</file>

<file path=xl/sharedStrings.xml><?xml version="1.0" encoding="utf-8"?>
<sst xmlns="http://schemas.openxmlformats.org/spreadsheetml/2006/main" count="44" uniqueCount="35">
  <si>
    <t>Importante, datos en céntimos de euro por Kg con DOS decimales</t>
  </si>
  <si>
    <t>CESTA FP
MERCADONA</t>
  </si>
  <si>
    <t>CESTA FP</t>
  </si>
  <si>
    <t>ALVEOLOS</t>
  </si>
  <si>
    <t>ALVEOLO ALTOGAMA</t>
  </si>
  <si>
    <t>ALVE.MERCADONA</t>
  </si>
  <si>
    <t>SAN SEBASTIÁN SCA</t>
  </si>
  <si>
    <t>6xCFP.ME.1K. 60x40</t>
  </si>
  <si>
    <t>10xCEFP. 1K. 60x40</t>
  </si>
  <si>
    <t>ALVEOLO 50x30</t>
  </si>
  <si>
    <t>ALV.ALTOGAMA 40x30</t>
  </si>
  <si>
    <t>ALV.MERCADON 60x40</t>
  </si>
  <si>
    <t>LOGIFRUIT COD</t>
  </si>
  <si>
    <t>CARTON</t>
  </si>
  <si>
    <t>EPS</t>
  </si>
  <si>
    <t>IFCO BLL Negro</t>
  </si>
  <si>
    <t>MADERA</t>
  </si>
  <si>
    <t>1. RECOLECCION Y TRANSPORTE</t>
  </si>
  <si>
    <t>1.1 Mano de obra de recolección.</t>
  </si>
  <si>
    <t>1.2 Transporte campo-almacén</t>
  </si>
  <si>
    <t>1.3 Tratamientos</t>
  </si>
  <si>
    <t>1.4 Seguros de Campo</t>
  </si>
  <si>
    <t>1.5 Otros</t>
  </si>
  <si>
    <t>TOTAL M.O. RECOLECCION Y TRANSPORTE</t>
  </si>
  <si>
    <t>2. COSTES DE CONFECCION</t>
  </si>
  <si>
    <t>2.1 Mano obra pre-confeccion</t>
  </si>
  <si>
    <t>2.2 Mano obra post-confección</t>
  </si>
  <si>
    <t>2.3 Mano de obra auxiliar</t>
  </si>
  <si>
    <t>2.4 Mano obra de confección en línea</t>
  </si>
  <si>
    <t>2.5 Envases, etiquetas, palets, etc.</t>
  </si>
  <si>
    <t>2.6 Amortizaciones</t>
  </si>
  <si>
    <t>2.7 Otros (Electricidad, consumibles)</t>
  </si>
  <si>
    <t>TOTAL COSTES DE CONFECCION</t>
  </si>
  <si>
    <t>3. COSTES GENERALES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</si>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</sst>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FF0000"/>
      <name val="Aptos Narrow"/>
      <family val="2"/>
    </font>
    <font>
      <sz val="8"/>
      <color rgb="FF000000"/>
      <name val="Arial"/>
      <family val="2"/>
    </font>
    <font>
      <b/>
      <sz val="10"/>
      <color rgb="FF000000"/>
      <name val="Aptos Narrow"/>
      <family val="2"/>
    </font>
    <font>
      <b/>
      <sz val="11"/>
      <color rgb="FF000000"/>
      <name val="Aptos Narrow"/>
      <family val="2"/>
    </font>
    <font>
      <sz val="10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C1F0C8"/>
        <bgColor rgb="FFC1F0C8"/>
      </patternFill>
    </fill>
    <fill>
      <patternFill patternType="solid">
        <fgColor rgb="FFDAF2D0"/>
        <bgColor rgb="FFDAF2D0"/>
      </patternFill>
    </fill>
    <fill>
      <patternFill patternType="solid">
        <fgColor rgb="FFFFFF00"/>
        <bgColor rgb="FFFFFF00"/>
      </patternFill>
    </fill>
    <fill>
      <patternFill patternType="solid">
        <fgColor rgb="FFB5E6A2"/>
        <bgColor rgb="FFB5E6A2"/>
      </patternFill>
    </fill>
    <fill>
      <patternFill patternType="solid">
        <fgColor rgb="FF83E28E"/>
        <bgColor rgb="FF83E28E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FFFFFF"/>
      </patternFill>
    </fill>
    <fill>
      <patternFill patternType="solid">
        <fgColor rgb="FFE49EDD"/>
        <bgColor rgb="FFE49EDD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4" fillId="5" borderId="2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4" fontId="5" fillId="0" borderId="3" xfId="0" applyNumberFormat="1" applyFont="1" applyBorder="1" applyAlignment="1">
      <alignment horizontal="justify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4" fontId="5" fillId="0" borderId="6" xfId="0" applyNumberFormat="1" applyFont="1" applyBorder="1" applyAlignment="1">
      <alignment horizontal="justify" vertical="center"/>
    </xf>
    <xf numFmtId="2" fontId="5" fillId="0" borderId="7" xfId="0" applyNumberFormat="1" applyFont="1" applyBorder="1" applyAlignment="1">
      <alignment horizontal="center" vertical="center"/>
    </xf>
    <xf numFmtId="0" fontId="5" fillId="0" borderId="8" xfId="0" applyFont="1" applyBorder="1"/>
    <xf numFmtId="4" fontId="5" fillId="0" borderId="9" xfId="0" applyNumberFormat="1" applyFont="1" applyBorder="1" applyAlignment="1">
      <alignment horizontal="justify" vertical="center"/>
    </xf>
    <xf numFmtId="4" fontId="4" fillId="6" borderId="10" xfId="0" applyNumberFormat="1" applyFont="1" applyFill="1" applyBorder="1" applyAlignment="1">
      <alignment horizontal="justify" vertical="center"/>
    </xf>
    <xf numFmtId="2" fontId="3" fillId="7" borderId="4" xfId="0" applyNumberFormat="1" applyFont="1" applyFill="1" applyBorder="1" applyAlignment="1">
      <alignment horizontal="center" vertical="center"/>
    </xf>
    <xf numFmtId="2" fontId="3" fillId="7" borderId="11" xfId="0" applyNumberFormat="1" applyFont="1" applyFill="1" applyBorder="1" applyAlignment="1">
      <alignment horizontal="center" vertical="center"/>
    </xf>
    <xf numFmtId="0" fontId="5" fillId="0" borderId="0" xfId="0" applyFont="1"/>
    <xf numFmtId="4" fontId="4" fillId="5" borderId="2" xfId="0" applyNumberFormat="1" applyFont="1" applyFill="1" applyBorder="1" applyAlignment="1">
      <alignment horizontal="center" vertical="center"/>
    </xf>
    <xf numFmtId="4" fontId="5" fillId="0" borderId="6" xfId="0" applyNumberFormat="1" applyFont="1" applyBorder="1" applyAlignment="1">
      <alignment vertical="center" wrapText="1"/>
    </xf>
    <xf numFmtId="2" fontId="5" fillId="0" borderId="8" xfId="0" applyNumberFormat="1" applyFont="1" applyBorder="1" applyAlignment="1">
      <alignment horizontal="center" vertical="center"/>
    </xf>
    <xf numFmtId="2" fontId="5" fillId="8" borderId="4" xfId="0" applyNumberFormat="1" applyFont="1" applyFill="1" applyBorder="1" applyAlignment="1">
      <alignment horizontal="center" vertical="center"/>
    </xf>
    <xf numFmtId="4" fontId="4" fillId="6" borderId="10" xfId="0" applyNumberFormat="1" applyFont="1" applyFill="1" applyBorder="1" applyAlignment="1">
      <alignment vertical="center"/>
    </xf>
    <xf numFmtId="2" fontId="3" fillId="5" borderId="4" xfId="0" applyNumberFormat="1" applyFont="1" applyFill="1" applyBorder="1" applyAlignment="1">
      <alignment horizontal="center" vertical="center"/>
    </xf>
    <xf numFmtId="4" fontId="4" fillId="9" borderId="2" xfId="0" applyNumberFormat="1" applyFont="1" applyFill="1" applyBorder="1" applyAlignment="1">
      <alignment horizontal="justify" vertical="center"/>
    </xf>
    <xf numFmtId="2" fontId="3" fillId="9" borderId="4" xfId="0" applyNumberFormat="1" applyFont="1" applyFill="1" applyBorder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/>
    </xf>
    <xf numFmtId="2" fontId="3" fillId="0" borderId="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6B54-1B86-4D30-85F0-3C7171AAE0A5}">
  <dimension ref="A1:I24"/>
  <sheetViews>
    <sheetView tabSelected="1" workbookViewId="0">
      <selection activeCell="L16" sqref="L16"/>
    </sheetView>
  </sheetViews>
  <sheetFormatPr baseColWidth="10" defaultRowHeight="15" x14ac:dyDescent="0.25"/>
  <cols>
    <col min="1" max="1" width="30.85546875" bestFit="1" customWidth="1"/>
  </cols>
  <sheetData>
    <row r="1" spans="1:9" ht="47.25" x14ac:dyDescent="0.25">
      <c r="A1" s="1" t="s">
        <v>0</v>
      </c>
      <c r="B1" s="2" t="s">
        <v>1</v>
      </c>
      <c r="C1" s="2" t="s">
        <v>2</v>
      </c>
      <c r="D1" s="2" t="s">
        <v>2</v>
      </c>
      <c r="E1" s="2" t="s">
        <v>2</v>
      </c>
      <c r="F1" s="3" t="s">
        <v>3</v>
      </c>
      <c r="G1" s="3" t="s">
        <v>3</v>
      </c>
      <c r="H1" s="3" t="s">
        <v>4</v>
      </c>
      <c r="I1" s="3" t="s">
        <v>5</v>
      </c>
    </row>
    <row r="2" spans="1:9" ht="22.5" x14ac:dyDescent="0.25">
      <c r="A2" s="4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3" t="s">
        <v>9</v>
      </c>
      <c r="G2" s="3" t="s">
        <v>9</v>
      </c>
      <c r="H2" s="3" t="s">
        <v>10</v>
      </c>
      <c r="I2" s="3" t="s">
        <v>11</v>
      </c>
    </row>
    <row r="3" spans="1:9" ht="23.25" thickBot="1" x14ac:dyDescent="0.3">
      <c r="A3" s="5"/>
      <c r="B3" s="2" t="s">
        <v>12</v>
      </c>
      <c r="C3" s="2" t="s">
        <v>13</v>
      </c>
      <c r="D3" s="2" t="s">
        <v>14</v>
      </c>
      <c r="E3" s="2" t="s">
        <v>15</v>
      </c>
      <c r="F3" s="3" t="s">
        <v>13</v>
      </c>
      <c r="G3" s="3" t="s">
        <v>16</v>
      </c>
      <c r="H3" s="3" t="s">
        <v>13</v>
      </c>
      <c r="I3" s="3" t="s">
        <v>12</v>
      </c>
    </row>
    <row r="4" spans="1:9" ht="30.75" thickBot="1" x14ac:dyDescent="0.3">
      <c r="A4" s="6" t="s">
        <v>17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18</v>
      </c>
      <c r="B5" s="9">
        <v>14.85</v>
      </c>
      <c r="C5" s="9">
        <v>14.85</v>
      </c>
      <c r="D5" s="9">
        <v>14.85</v>
      </c>
      <c r="E5" s="9">
        <v>14.85</v>
      </c>
      <c r="F5" s="9">
        <v>14.85</v>
      </c>
      <c r="G5" s="9">
        <v>14.85</v>
      </c>
      <c r="H5" s="9">
        <v>14.85</v>
      </c>
      <c r="I5" s="10">
        <v>14.85</v>
      </c>
    </row>
    <row r="6" spans="1:9" x14ac:dyDescent="0.25">
      <c r="A6" s="11" t="s">
        <v>19</v>
      </c>
      <c r="B6" s="9"/>
      <c r="C6" s="9"/>
      <c r="D6" s="9"/>
      <c r="E6" s="9"/>
      <c r="F6" s="9"/>
      <c r="G6" s="9"/>
      <c r="H6" s="12"/>
      <c r="I6" s="13"/>
    </row>
    <row r="7" spans="1:9" x14ac:dyDescent="0.25">
      <c r="A7" s="14" t="s">
        <v>20</v>
      </c>
      <c r="B7" s="27">
        <v>3.77</v>
      </c>
      <c r="C7" s="27">
        <v>3.77</v>
      </c>
      <c r="D7" s="27">
        <v>3.77</v>
      </c>
      <c r="E7" s="27">
        <v>3.77</v>
      </c>
      <c r="F7" s="27">
        <v>3.77</v>
      </c>
      <c r="G7" s="27">
        <v>3.77</v>
      </c>
      <c r="H7" s="27">
        <v>3.77</v>
      </c>
      <c r="I7" s="27">
        <v>3.77</v>
      </c>
    </row>
    <row r="8" spans="1:9" x14ac:dyDescent="0.25">
      <c r="A8" s="14" t="s">
        <v>21</v>
      </c>
      <c r="B8" s="9">
        <v>0.51</v>
      </c>
      <c r="C8" s="9">
        <v>0.51</v>
      </c>
      <c r="D8" s="9">
        <v>0.51</v>
      </c>
      <c r="E8" s="9">
        <v>0.51</v>
      </c>
      <c r="F8" s="9">
        <v>0.51</v>
      </c>
      <c r="G8" s="9">
        <v>0.51</v>
      </c>
      <c r="H8" s="9">
        <v>0.51</v>
      </c>
      <c r="I8" s="9">
        <v>0.51</v>
      </c>
    </row>
    <row r="9" spans="1:9" x14ac:dyDescent="0.25">
      <c r="A9" s="14" t="s">
        <v>22</v>
      </c>
      <c r="B9" s="9"/>
      <c r="C9" s="9"/>
      <c r="D9" s="9"/>
      <c r="E9" s="9"/>
      <c r="F9" s="9"/>
      <c r="G9" s="9"/>
      <c r="H9" s="12"/>
      <c r="I9" s="13"/>
    </row>
    <row r="10" spans="1:9" ht="30.75" thickBot="1" x14ac:dyDescent="0.3">
      <c r="A10" s="15" t="s">
        <v>23</v>
      </c>
      <c r="B10" s="16">
        <f t="shared" ref="B10:H10" si="0">SUM(B5:B9)</f>
        <v>19.130000000000003</v>
      </c>
      <c r="C10" s="16">
        <f t="shared" si="0"/>
        <v>19.130000000000003</v>
      </c>
      <c r="D10" s="16">
        <f t="shared" si="0"/>
        <v>19.130000000000003</v>
      </c>
      <c r="E10" s="16">
        <f t="shared" si="0"/>
        <v>19.130000000000003</v>
      </c>
      <c r="F10" s="16">
        <f t="shared" si="0"/>
        <v>19.130000000000003</v>
      </c>
      <c r="G10" s="16">
        <f t="shared" si="0"/>
        <v>19.130000000000003</v>
      </c>
      <c r="H10" s="16">
        <f t="shared" si="0"/>
        <v>19.130000000000003</v>
      </c>
      <c r="I10" s="17">
        <f>SUM(I5:I9)</f>
        <v>19.130000000000003</v>
      </c>
    </row>
    <row r="11" spans="1:9" ht="15.75" thickBot="1" x14ac:dyDescent="0.3">
      <c r="A11" s="18"/>
      <c r="B11" s="7"/>
      <c r="C11" s="7"/>
      <c r="D11" s="7"/>
      <c r="E11" s="7"/>
      <c r="F11" s="7"/>
      <c r="G11" s="7"/>
      <c r="H11" s="7"/>
      <c r="I11" s="7"/>
    </row>
    <row r="12" spans="1:9" ht="15.75" thickBot="1" x14ac:dyDescent="0.3">
      <c r="A12" s="19" t="s">
        <v>24</v>
      </c>
      <c r="B12" s="7"/>
      <c r="C12" s="7"/>
      <c r="D12" s="7"/>
      <c r="E12" s="7"/>
      <c r="F12" s="7"/>
      <c r="G12" s="7"/>
      <c r="H12" s="7"/>
      <c r="I12" s="7"/>
    </row>
    <row r="13" spans="1:9" x14ac:dyDescent="0.25">
      <c r="A13" s="20" t="s">
        <v>25</v>
      </c>
      <c r="B13" s="9">
        <v>1.28</v>
      </c>
      <c r="C13" s="9">
        <v>1.28</v>
      </c>
      <c r="D13" s="9">
        <v>1.28</v>
      </c>
      <c r="E13" s="9">
        <v>1.28</v>
      </c>
      <c r="F13" s="9">
        <v>1.28</v>
      </c>
      <c r="G13" s="9">
        <v>1.28</v>
      </c>
      <c r="H13" s="9">
        <v>1.28</v>
      </c>
      <c r="I13" s="9">
        <v>1.28</v>
      </c>
    </row>
    <row r="14" spans="1:9" x14ac:dyDescent="0.25">
      <c r="A14" s="20" t="s">
        <v>26</v>
      </c>
      <c r="B14" s="9">
        <v>2.4300000000000002</v>
      </c>
      <c r="C14" s="9">
        <v>2.4300000000000002</v>
      </c>
      <c r="D14" s="9">
        <v>2.4300000000000002</v>
      </c>
      <c r="E14" s="9">
        <v>2.4300000000000002</v>
      </c>
      <c r="F14" s="9">
        <v>2.4300000000000002</v>
      </c>
      <c r="G14" s="9">
        <v>2.4300000000000002</v>
      </c>
      <c r="H14" s="9">
        <v>2.4300000000000002</v>
      </c>
      <c r="I14" s="9">
        <v>2.4300000000000002</v>
      </c>
    </row>
    <row r="15" spans="1:9" x14ac:dyDescent="0.25">
      <c r="A15" s="20" t="s">
        <v>27</v>
      </c>
      <c r="B15" s="9">
        <v>1.55</v>
      </c>
      <c r="C15" s="9">
        <v>1.55</v>
      </c>
      <c r="D15" s="9">
        <v>1.55</v>
      </c>
      <c r="E15" s="9">
        <v>1.55</v>
      </c>
      <c r="F15" s="9">
        <v>1.55</v>
      </c>
      <c r="G15" s="9">
        <v>1.55</v>
      </c>
      <c r="H15" s="10">
        <v>1.55</v>
      </c>
      <c r="I15" s="10">
        <v>1.55</v>
      </c>
    </row>
    <row r="16" spans="1:9" x14ac:dyDescent="0.25">
      <c r="A16" s="20" t="s">
        <v>28</v>
      </c>
      <c r="B16" s="9">
        <v>4.79</v>
      </c>
      <c r="C16" s="9">
        <v>4.8099999999999996</v>
      </c>
      <c r="D16" s="9">
        <v>4.01</v>
      </c>
      <c r="E16" s="9">
        <v>5.33</v>
      </c>
      <c r="F16" s="9">
        <v>7.43</v>
      </c>
      <c r="G16" s="12">
        <v>7.12</v>
      </c>
      <c r="H16" s="21">
        <v>6.78</v>
      </c>
      <c r="I16" s="21">
        <v>7.38</v>
      </c>
    </row>
    <row r="17" spans="1:9" x14ac:dyDescent="0.25">
      <c r="A17" s="20" t="s">
        <v>29</v>
      </c>
      <c r="B17" s="9">
        <v>12.3</v>
      </c>
      <c r="C17" s="22">
        <v>15.48</v>
      </c>
      <c r="D17" s="9">
        <v>16.29</v>
      </c>
      <c r="E17" s="9">
        <v>16.29</v>
      </c>
      <c r="F17" s="9">
        <v>15.44</v>
      </c>
      <c r="G17" s="12">
        <v>18.62</v>
      </c>
      <c r="H17" s="21">
        <v>18.71</v>
      </c>
      <c r="I17" s="21">
        <v>5.01</v>
      </c>
    </row>
    <row r="18" spans="1:9" x14ac:dyDescent="0.25">
      <c r="A18" s="20" t="s">
        <v>30</v>
      </c>
      <c r="B18" s="27">
        <v>1.5</v>
      </c>
      <c r="C18" s="27">
        <v>1.5</v>
      </c>
      <c r="D18" s="27">
        <v>1.5</v>
      </c>
      <c r="E18" s="27">
        <v>1.5</v>
      </c>
      <c r="F18" s="27">
        <v>1.5</v>
      </c>
      <c r="G18" s="27">
        <v>1.5</v>
      </c>
      <c r="H18" s="28">
        <v>1.5</v>
      </c>
      <c r="I18" s="28">
        <v>1.5</v>
      </c>
    </row>
    <row r="19" spans="1:9" x14ac:dyDescent="0.25">
      <c r="A19" s="20" t="s">
        <v>31</v>
      </c>
      <c r="B19" s="27">
        <v>3.73</v>
      </c>
      <c r="C19" s="27">
        <v>3.73</v>
      </c>
      <c r="D19" s="27">
        <v>3.73</v>
      </c>
      <c r="E19" s="27">
        <v>3.73</v>
      </c>
      <c r="F19" s="27">
        <v>3.73</v>
      </c>
      <c r="G19" s="27">
        <v>3.73</v>
      </c>
      <c r="H19" s="27">
        <v>3.73</v>
      </c>
      <c r="I19" s="27">
        <v>3.73</v>
      </c>
    </row>
    <row r="20" spans="1:9" ht="15.75" thickBot="1" x14ac:dyDescent="0.3">
      <c r="A20" s="23" t="s">
        <v>32</v>
      </c>
      <c r="B20" s="16">
        <f t="shared" ref="B20:I20" si="1">SUM(B13:B19)</f>
        <v>27.580000000000002</v>
      </c>
      <c r="C20" s="16">
        <f t="shared" si="1"/>
        <v>30.78</v>
      </c>
      <c r="D20" s="16">
        <f t="shared" si="1"/>
        <v>30.79</v>
      </c>
      <c r="E20" s="16">
        <f t="shared" si="1"/>
        <v>32.11</v>
      </c>
      <c r="F20" s="16">
        <f t="shared" si="1"/>
        <v>33.36</v>
      </c>
      <c r="G20" s="16">
        <f t="shared" si="1"/>
        <v>36.229999999999997</v>
      </c>
      <c r="H20" s="16">
        <f t="shared" si="1"/>
        <v>35.979999999999997</v>
      </c>
      <c r="I20" s="17">
        <f t="shared" si="1"/>
        <v>22.88</v>
      </c>
    </row>
    <row r="21" spans="1:9" ht="15.75" thickBot="1" x14ac:dyDescent="0.3">
      <c r="A21" s="18"/>
      <c r="B21" s="7"/>
      <c r="C21" s="7"/>
      <c r="D21" s="7"/>
      <c r="E21" s="7"/>
      <c r="F21" s="7"/>
      <c r="G21" s="7"/>
      <c r="H21" s="7"/>
      <c r="I21" s="7"/>
    </row>
    <row r="22" spans="1:9" ht="15.75" thickBot="1" x14ac:dyDescent="0.3">
      <c r="A22" s="19" t="s">
        <v>33</v>
      </c>
      <c r="B22" s="24">
        <v>3.52</v>
      </c>
      <c r="C22" s="24">
        <v>3.52</v>
      </c>
      <c r="D22" s="24">
        <v>3.52</v>
      </c>
      <c r="E22" s="24">
        <v>3.52</v>
      </c>
      <c r="F22" s="24">
        <v>3.52</v>
      </c>
      <c r="G22" s="24">
        <v>3.52</v>
      </c>
      <c r="H22" s="24">
        <v>3.52</v>
      </c>
      <c r="I22" s="24">
        <v>3.52</v>
      </c>
    </row>
    <row r="23" spans="1:9" ht="15.75" thickBot="1" x14ac:dyDescent="0.3">
      <c r="A23" s="18"/>
      <c r="B23" s="7"/>
      <c r="C23" s="7"/>
      <c r="D23" s="7"/>
      <c r="E23" s="7"/>
      <c r="F23" s="7"/>
      <c r="G23" s="7"/>
      <c r="H23" s="7"/>
      <c r="I23" s="7"/>
    </row>
    <row r="24" spans="1:9" ht="15.75" thickBot="1" x14ac:dyDescent="0.3">
      <c r="A24" s="25" t="s">
        <v>34</v>
      </c>
      <c r="B24" s="26">
        <f t="shared" ref="B24:I24" si="2">B10+B20+B22</f>
        <v>50.230000000000011</v>
      </c>
      <c r="C24" s="26">
        <f t="shared" si="2"/>
        <v>53.430000000000007</v>
      </c>
      <c r="D24" s="26">
        <f t="shared" si="2"/>
        <v>53.440000000000005</v>
      </c>
      <c r="E24" s="26">
        <f t="shared" si="2"/>
        <v>54.760000000000005</v>
      </c>
      <c r="F24" s="26">
        <f t="shared" si="2"/>
        <v>56.010000000000005</v>
      </c>
      <c r="G24" s="26">
        <f t="shared" si="2"/>
        <v>58.88</v>
      </c>
      <c r="H24" s="26">
        <f t="shared" si="2"/>
        <v>58.63</v>
      </c>
      <c r="I24" s="26">
        <f t="shared" si="2"/>
        <v>45.530000000000008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Sebastian SCA</dc:creator>
  <cp:lastModifiedBy>San Sebastian SCA</cp:lastModifiedBy>
  <cp:lastPrinted>2026-04-16T09:41:35Z</cp:lastPrinted>
  <dcterms:created xsi:type="dcterms:W3CDTF">2026-04-16T08:41:19Z</dcterms:created>
  <dcterms:modified xsi:type="dcterms:W3CDTF">2026-04-16T09:43:46Z</dcterms:modified>
</cp:coreProperties>
</file>