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sebas AgroView\"/>
    </mc:Choice>
  </mc:AlternateContent>
  <xr:revisionPtr revIDLastSave="0" documentId="8_{CCE9D1D1-0D78-45EF-80CD-B682BBC70CB5}" xr6:coauthVersionLast="47" xr6:coauthVersionMax="47" xr10:uidLastSave="{00000000-0000-0000-0000-000000000000}"/>
  <bookViews>
    <workbookView xWindow="-120" yWindow="-120" windowWidth="29040" windowHeight="15720" xr2:uid="{9176965A-463F-4FF9-A35C-8EBE550311F5}"/>
  </bookViews>
  <sheets>
    <sheet name="NARAN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J21" i="1" l="1"/>
  <c r="S17" i="1"/>
  <c r="S21" i="1" s="1"/>
  <c r="R17" i="1"/>
  <c r="R21" i="1" s="1"/>
  <c r="Q17" i="1"/>
  <c r="P17" i="1"/>
  <c r="O17" i="1"/>
  <c r="O21" i="1" s="1"/>
  <c r="N17" i="1"/>
  <c r="N21" i="1" s="1"/>
  <c r="M17" i="1"/>
  <c r="M21" i="1" s="1"/>
  <c r="L17" i="1"/>
  <c r="L21" i="1" s="1"/>
  <c r="K17" i="1"/>
  <c r="K21" i="1" s="1"/>
  <c r="J17" i="1"/>
  <c r="I17" i="1"/>
  <c r="I21" i="1" s="1"/>
  <c r="H17" i="1"/>
  <c r="H21" i="1" s="1"/>
  <c r="G17" i="1"/>
  <c r="F17" i="1"/>
  <c r="E17" i="1"/>
  <c r="D17" i="1"/>
  <c r="C17" i="1"/>
  <c r="C21" i="1" s="1"/>
  <c r="B17" i="1"/>
  <c r="B21" i="1" s="1"/>
  <c r="Q8" i="1"/>
  <c r="Q21" i="1" s="1"/>
  <c r="P8" i="1"/>
  <c r="P21" i="1" s="1"/>
  <c r="O8" i="1"/>
  <c r="N8" i="1"/>
  <c r="M8" i="1"/>
  <c r="L8" i="1"/>
  <c r="K8" i="1"/>
  <c r="J8" i="1"/>
  <c r="I8" i="1"/>
  <c r="H8" i="1"/>
  <c r="G8" i="1"/>
  <c r="G21" i="1" s="1"/>
  <c r="F8" i="1"/>
  <c r="E8" i="1"/>
  <c r="D8" i="1"/>
  <c r="D21" i="1" s="1"/>
  <c r="C8" i="1"/>
  <c r="B8" i="1"/>
  <c r="E21" i="1" l="1"/>
  <c r="F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P14" authorId="0" shapeId="0" xr:uid="{4586292F-CF6B-4742-86FC-D93C84A161E5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No tenemos esta confección este año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Q14" authorId="0" shapeId="0" xr:uid="{5278B36C-0377-4E1E-A850-94269BB766A1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No tenemos esta confección este año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R14" authorId="0" shapeId="0" xr:uid="{D1D0302C-FB6E-4047-AA54-39107AC26463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No tenemos esta confección este año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S14" authorId="0" shapeId="0" xr:uid="{9408F3EA-542E-46E4-ACFF-B6667B96E5B0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No tenemos esta confección este año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16" authorId="0" shapeId="0" xr:uid="{A2A79EF0-E4BB-4832-B622-724C5F49B9E9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16" authorId="0" shapeId="0" xr:uid="{585FAFC6-326D-420C-9E2A-D0404D7C90C2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E16" authorId="0" shapeId="0" xr:uid="{7502F415-C3B0-4EFA-92DD-74AE992D2F4D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F16" authorId="0" shapeId="0" xr:uid="{CAF6EBCF-6FB4-4622-BC97-2717E7BB284E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G16" authorId="0" shapeId="0" xr:uid="{6DDAD439-599E-4210-8CD0-F0B51F380676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16" authorId="0" shapeId="0" xr:uid="{1C1D9A36-1E15-4868-AAD9-CA8B5C397F10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I16" authorId="0" shapeId="0" xr:uid="{C4FBE81F-234D-48A3-8386-4E2DC8BC935B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6" authorId="0" shapeId="0" xr:uid="{B7B98CE2-88F3-41BA-BF1A-11A71EB710E3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6" authorId="0" shapeId="0" xr:uid="{7D4B8276-11AD-4042-AE04-64A89FCA623A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L16" authorId="0" shapeId="0" xr:uid="{A47924D3-9EC7-4BE5-9761-CD4D1F017B2A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M16" authorId="0" shapeId="0" xr:uid="{B7B02638-EA9D-49B9-9549-846424D94899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N16" authorId="0" shapeId="0" xr:uid="{1AE3CE3F-97AC-4126-A748-B6E6BB16AEC1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O16" authorId="0" shapeId="0" xr:uid="{C20762D9-B60A-4C50-A990-09738FAA32C1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<sst xmlns="http://schemas.openxmlformats.org/spreadsheetml/2006/main" count="53" uniqueCount="42">
  <si>
    <t>Importante, datos en céntimos de euro por Kg con DOS decimales</t>
  </si>
  <si>
    <t>NOMBRE COOPERATIVA</t>
  </si>
  <si>
    <t>ALVE. 8K. 60x40</t>
  </si>
  <si>
    <t>ENCA. 10K. 44x29</t>
  </si>
  <si>
    <t>ENCA. 15K. 44x29</t>
  </si>
  <si>
    <t>ENCA. 16K. 60x40</t>
  </si>
  <si>
    <t>GRAN. 14K. 60x40</t>
  </si>
  <si>
    <t>GRAN. 15K. 60x40</t>
  </si>
  <si>
    <t>10xMALL. 2K. 60x40</t>
  </si>
  <si>
    <t>5xMALL. 3K. 60x40</t>
  </si>
  <si>
    <t>10xGIRS. 2K. 60x40</t>
  </si>
  <si>
    <t>90xGIRS. 2K. 80x60</t>
  </si>
  <si>
    <t>8xULPA. 2K. 60x40</t>
  </si>
  <si>
    <t>60xULPA. 3K. 80x60</t>
  </si>
  <si>
    <t>8xPAP.BAG.1,5K 60x40</t>
  </si>
  <si>
    <t>80xULPA. 3K. 80x60</t>
  </si>
  <si>
    <t>8xCLIP.2K 60x40</t>
  </si>
  <si>
    <t>60xGIRS. 3K. 80x60</t>
  </si>
  <si>
    <t>90xULPA. 2K. 80x60</t>
  </si>
  <si>
    <t>CARTON</t>
  </si>
  <si>
    <t>MADERA</t>
  </si>
  <si>
    <t>MADERA IMPRESA</t>
  </si>
  <si>
    <t>EPS 246 VERDE</t>
  </si>
  <si>
    <t>IFCO BLL Negro</t>
  </si>
  <si>
    <t>GREENBOX</t>
  </si>
  <si>
    <t>MINI GREENBOX</t>
  </si>
  <si>
    <t>COGIT</t>
  </si>
  <si>
    <t>1. RECOLECCION Y TRANSPORTE</t>
  </si>
  <si>
    <t>1.1 Mano de obra de recolección.</t>
  </si>
  <si>
    <t>1.2 Transporte campo-almacén</t>
  </si>
  <si>
    <t>1.3 Otros</t>
  </si>
  <si>
    <t>TOTAL M.O. RECOLECCION Y TRANSPORTE</t>
  </si>
  <si>
    <t>2. COSTES DE CONFECCION</t>
  </si>
  <si>
    <t>2.1 Mano obra pre-confeccion</t>
  </si>
  <si>
    <t>2.2 Mano obra post-confección</t>
  </si>
  <si>
    <t>2.3 Mano de obra auxiliar</t>
  </si>
  <si>
    <t>2.4 Mano obra de confección en línea</t>
  </si>
  <si>
    <t>2.5 Envases, etiquetas, palets, etc.</t>
  </si>
  <si>
    <t>2.6 Otros (Electricidad, consumibles, amortizaciones…)</t>
  </si>
  <si>
    <t>TOTAL COSTES DE CONFECCION</t>
  </si>
  <si>
    <t>3. COSTES GENERALES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</si>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</sst>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rgb="FF000000"/>
      <name val="Aptos Narrow"/>
      <family val="2"/>
    </font>
    <font>
      <b/>
      <sz val="12"/>
      <color rgb="FFFF0000"/>
      <name val="Aptos Narrow"/>
      <family val="2"/>
    </font>
    <font>
      <b/>
      <sz val="10"/>
      <color rgb="FF000000"/>
      <name val="Aptos Narrow"/>
      <family val="2"/>
    </font>
    <font>
      <b/>
      <sz val="8"/>
      <color rgb="FF000000"/>
      <name val="Aptos Narrow"/>
      <family val="2"/>
    </font>
    <font>
      <sz val="10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83E28E"/>
        <bgColor rgb="FF83E28E"/>
      </patternFill>
    </fill>
    <fill>
      <patternFill patternType="solid">
        <fgColor rgb="FFFFFFFF"/>
        <bgColor rgb="FFFFFFFF"/>
      </patternFill>
    </fill>
    <fill>
      <patternFill patternType="solid">
        <fgColor rgb="FFB5E6A2"/>
        <bgColor rgb="FFB5E6A2"/>
      </patternFill>
    </fill>
    <fill>
      <patternFill patternType="solid">
        <fgColor rgb="FF000000"/>
        <bgColor rgb="FF000000"/>
      </patternFill>
    </fill>
    <fill>
      <patternFill patternType="solid">
        <fgColor rgb="FFE49EDD"/>
        <bgColor rgb="FFE49ED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" fontId="5" fillId="5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4" fontId="4" fillId="0" borderId="4" xfId="0" applyNumberFormat="1" applyFont="1" applyBorder="1" applyAlignment="1">
      <alignment horizontal="justify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justify" vertical="center"/>
    </xf>
    <xf numFmtId="4" fontId="4" fillId="0" borderId="8" xfId="0" applyNumberFormat="1" applyFont="1" applyBorder="1" applyAlignment="1">
      <alignment horizontal="justify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5" fillId="3" borderId="9" xfId="0" applyNumberFormat="1" applyFont="1" applyFill="1" applyBorder="1" applyAlignment="1">
      <alignment horizontal="justify" vertical="center"/>
    </xf>
    <xf numFmtId="2" fontId="2" fillId="3" borderId="5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4" fontId="5" fillId="5" borderId="3" xfId="0" applyNumberFormat="1" applyFont="1" applyFill="1" applyBorder="1" applyAlignment="1">
      <alignment horizontal="center" vertical="center"/>
    </xf>
    <xf numFmtId="4" fontId="4" fillId="0" borderId="7" xfId="0" applyNumberFormat="1" applyFont="1" applyBorder="1" applyAlignment="1">
      <alignment vertical="center" wrapText="1"/>
    </xf>
    <xf numFmtId="2" fontId="4" fillId="0" borderId="10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4" fillId="6" borderId="1" xfId="0" applyFont="1" applyFill="1" applyBorder="1"/>
    <xf numFmtId="2" fontId="4" fillId="0" borderId="11" xfId="0" applyNumberFormat="1" applyFont="1" applyBorder="1" applyAlignment="1">
      <alignment horizontal="center" vertical="center"/>
    </xf>
    <xf numFmtId="4" fontId="5" fillId="3" borderId="9" xfId="0" applyNumberFormat="1" applyFont="1" applyFill="1" applyBorder="1" applyAlignment="1">
      <alignment vertical="center"/>
    </xf>
    <xf numFmtId="2" fontId="2" fillId="5" borderId="5" xfId="0" applyNumberFormat="1" applyFont="1" applyFill="1" applyBorder="1" applyAlignment="1">
      <alignment horizontal="center" vertical="center"/>
    </xf>
    <xf numFmtId="4" fontId="5" fillId="7" borderId="3" xfId="0" applyNumberFormat="1" applyFont="1" applyFill="1" applyBorder="1" applyAlignment="1">
      <alignment horizontal="justify" vertical="center"/>
    </xf>
    <xf numFmtId="2" fontId="2" fillId="7" borderId="5" xfId="0" applyNumberFormat="1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7D76-9826-4748-BF52-4590CD3FA7B1}">
  <dimension ref="A1:U31"/>
  <sheetViews>
    <sheetView tabSelected="1" workbookViewId="0">
      <selection activeCell="C26" sqref="C26"/>
    </sheetView>
  </sheetViews>
  <sheetFormatPr baseColWidth="10" defaultRowHeight="15" x14ac:dyDescent="0.25"/>
  <cols>
    <col min="1" max="1" width="62.85546875" style="13" bestFit="1" customWidth="1"/>
    <col min="2" max="19" width="11.42578125" style="13" customWidth="1"/>
    <col min="20" max="21" width="11.42578125" customWidth="1"/>
    <col min="22" max="254" width="11.42578125" style="13" customWidth="1"/>
    <col min="255" max="255" width="45.85546875" style="13" bestFit="1" customWidth="1"/>
    <col min="256" max="510" width="11.42578125" style="13" customWidth="1"/>
    <col min="511" max="511" width="45.85546875" style="13" bestFit="1" customWidth="1"/>
    <col min="512" max="766" width="11.42578125" style="13" customWidth="1"/>
    <col min="767" max="767" width="45.85546875" style="13" bestFit="1" customWidth="1"/>
    <col min="768" max="1022" width="11.42578125" style="13" customWidth="1"/>
    <col min="1023" max="1023" width="45.85546875" style="13" bestFit="1" customWidth="1"/>
    <col min="1024" max="1278" width="11.42578125" style="13" customWidth="1"/>
    <col min="1279" max="1279" width="45.85546875" style="13" bestFit="1" customWidth="1"/>
    <col min="1280" max="1534" width="11.42578125" style="13" customWidth="1"/>
    <col min="1535" max="1535" width="45.85546875" style="13" bestFit="1" customWidth="1"/>
    <col min="1536" max="1790" width="11.42578125" style="13" customWidth="1"/>
    <col min="1791" max="1791" width="45.85546875" style="13" bestFit="1" customWidth="1"/>
    <col min="1792" max="2046" width="11.42578125" style="13" customWidth="1"/>
    <col min="2047" max="2047" width="45.85546875" style="13" bestFit="1" customWidth="1"/>
    <col min="2048" max="2302" width="11.42578125" style="13" customWidth="1"/>
    <col min="2303" max="2303" width="45.85546875" style="13" bestFit="1" customWidth="1"/>
    <col min="2304" max="2558" width="11.42578125" style="13" customWidth="1"/>
    <col min="2559" max="2559" width="45.85546875" style="13" bestFit="1" customWidth="1"/>
    <col min="2560" max="2814" width="11.42578125" style="13" customWidth="1"/>
    <col min="2815" max="2815" width="45.85546875" style="13" bestFit="1" customWidth="1"/>
    <col min="2816" max="3070" width="11.42578125" style="13" customWidth="1"/>
    <col min="3071" max="3071" width="45.85546875" style="13" bestFit="1" customWidth="1"/>
    <col min="3072" max="3326" width="11.42578125" style="13" customWidth="1"/>
    <col min="3327" max="3327" width="45.85546875" style="13" bestFit="1" customWidth="1"/>
    <col min="3328" max="3582" width="11.42578125" style="13" customWidth="1"/>
    <col min="3583" max="3583" width="45.85546875" style="13" bestFit="1" customWidth="1"/>
    <col min="3584" max="3838" width="11.42578125" style="13" customWidth="1"/>
    <col min="3839" max="3839" width="45.85546875" style="13" bestFit="1" customWidth="1"/>
    <col min="3840" max="4094" width="11.42578125" style="13" customWidth="1"/>
    <col min="4095" max="4095" width="45.85546875" style="13" bestFit="1" customWidth="1"/>
    <col min="4096" max="4350" width="11.42578125" style="13" customWidth="1"/>
    <col min="4351" max="4351" width="45.85546875" style="13" bestFit="1" customWidth="1"/>
    <col min="4352" max="4606" width="11.42578125" style="13" customWidth="1"/>
    <col min="4607" max="4607" width="45.85546875" style="13" bestFit="1" customWidth="1"/>
    <col min="4608" max="4862" width="11.42578125" style="13" customWidth="1"/>
    <col min="4863" max="4863" width="45.85546875" style="13" bestFit="1" customWidth="1"/>
    <col min="4864" max="5118" width="11.42578125" style="13" customWidth="1"/>
    <col min="5119" max="5119" width="45.85546875" style="13" bestFit="1" customWidth="1"/>
    <col min="5120" max="5374" width="11.42578125" style="13" customWidth="1"/>
    <col min="5375" max="5375" width="45.85546875" style="13" bestFit="1" customWidth="1"/>
    <col min="5376" max="5630" width="11.42578125" style="13" customWidth="1"/>
    <col min="5631" max="5631" width="45.85546875" style="13" bestFit="1" customWidth="1"/>
    <col min="5632" max="5886" width="11.42578125" style="13" customWidth="1"/>
    <col min="5887" max="5887" width="45.85546875" style="13" bestFit="1" customWidth="1"/>
    <col min="5888" max="6142" width="11.42578125" style="13" customWidth="1"/>
    <col min="6143" max="6143" width="45.85546875" style="13" bestFit="1" customWidth="1"/>
    <col min="6144" max="6398" width="11.42578125" style="13" customWidth="1"/>
    <col min="6399" max="6399" width="45.85546875" style="13" bestFit="1" customWidth="1"/>
    <col min="6400" max="6654" width="11.42578125" style="13" customWidth="1"/>
    <col min="6655" max="6655" width="45.85546875" style="13" bestFit="1" customWidth="1"/>
    <col min="6656" max="6910" width="11.42578125" style="13" customWidth="1"/>
    <col min="6911" max="6911" width="45.85546875" style="13" bestFit="1" customWidth="1"/>
    <col min="6912" max="7166" width="11.42578125" style="13" customWidth="1"/>
    <col min="7167" max="7167" width="45.85546875" style="13" bestFit="1" customWidth="1"/>
    <col min="7168" max="7422" width="11.42578125" style="13" customWidth="1"/>
    <col min="7423" max="7423" width="45.85546875" style="13" bestFit="1" customWidth="1"/>
    <col min="7424" max="7678" width="11.42578125" style="13" customWidth="1"/>
    <col min="7679" max="7679" width="45.85546875" style="13" bestFit="1" customWidth="1"/>
    <col min="7680" max="7934" width="11.42578125" style="13" customWidth="1"/>
    <col min="7935" max="7935" width="45.85546875" style="13" bestFit="1" customWidth="1"/>
    <col min="7936" max="8190" width="11.42578125" style="13" customWidth="1"/>
    <col min="8191" max="8191" width="45.85546875" style="13" bestFit="1" customWidth="1"/>
    <col min="8192" max="8446" width="11.42578125" style="13" customWidth="1"/>
    <col min="8447" max="8447" width="45.85546875" style="13" bestFit="1" customWidth="1"/>
    <col min="8448" max="8702" width="11.42578125" style="13" customWidth="1"/>
    <col min="8703" max="8703" width="45.85546875" style="13" bestFit="1" customWidth="1"/>
    <col min="8704" max="8958" width="11.42578125" style="13" customWidth="1"/>
    <col min="8959" max="8959" width="45.85546875" style="13" bestFit="1" customWidth="1"/>
    <col min="8960" max="9214" width="11.42578125" style="13" customWidth="1"/>
    <col min="9215" max="9215" width="45.85546875" style="13" bestFit="1" customWidth="1"/>
    <col min="9216" max="9470" width="11.42578125" style="13" customWidth="1"/>
    <col min="9471" max="9471" width="45.85546875" style="13" bestFit="1" customWidth="1"/>
    <col min="9472" max="9726" width="11.42578125" style="13" customWidth="1"/>
    <col min="9727" max="9727" width="45.85546875" style="13" bestFit="1" customWidth="1"/>
    <col min="9728" max="9982" width="11.42578125" style="13" customWidth="1"/>
    <col min="9983" max="9983" width="45.85546875" style="13" bestFit="1" customWidth="1"/>
    <col min="9984" max="10238" width="11.42578125" style="13" customWidth="1"/>
    <col min="10239" max="10239" width="45.85546875" style="13" bestFit="1" customWidth="1"/>
    <col min="10240" max="10494" width="11.42578125" style="13" customWidth="1"/>
    <col min="10495" max="10495" width="45.85546875" style="13" bestFit="1" customWidth="1"/>
    <col min="10496" max="10750" width="11.42578125" style="13" customWidth="1"/>
    <col min="10751" max="10751" width="45.85546875" style="13" bestFit="1" customWidth="1"/>
    <col min="10752" max="11006" width="11.42578125" style="13" customWidth="1"/>
    <col min="11007" max="11007" width="45.85546875" style="13" bestFit="1" customWidth="1"/>
    <col min="11008" max="11262" width="11.42578125" style="13" customWidth="1"/>
    <col min="11263" max="11263" width="45.85546875" style="13" bestFit="1" customWidth="1"/>
    <col min="11264" max="11518" width="11.42578125" style="13" customWidth="1"/>
    <col min="11519" max="11519" width="45.85546875" style="13" bestFit="1" customWidth="1"/>
    <col min="11520" max="11774" width="11.42578125" style="13" customWidth="1"/>
    <col min="11775" max="11775" width="45.85546875" style="13" bestFit="1" customWidth="1"/>
    <col min="11776" max="12030" width="11.42578125" style="13" customWidth="1"/>
    <col min="12031" max="12031" width="45.85546875" style="13" bestFit="1" customWidth="1"/>
    <col min="12032" max="12286" width="11.42578125" style="13" customWidth="1"/>
    <col min="12287" max="12287" width="45.85546875" style="13" bestFit="1" customWidth="1"/>
    <col min="12288" max="12542" width="11.42578125" style="13" customWidth="1"/>
    <col min="12543" max="12543" width="45.85546875" style="13" bestFit="1" customWidth="1"/>
    <col min="12544" max="12798" width="11.42578125" style="13" customWidth="1"/>
    <col min="12799" max="12799" width="45.85546875" style="13" bestFit="1" customWidth="1"/>
    <col min="12800" max="13054" width="11.42578125" style="13" customWidth="1"/>
    <col min="13055" max="13055" width="45.85546875" style="13" bestFit="1" customWidth="1"/>
    <col min="13056" max="13310" width="11.42578125" style="13" customWidth="1"/>
    <col min="13311" max="13311" width="45.85546875" style="13" bestFit="1" customWidth="1"/>
    <col min="13312" max="13566" width="11.42578125" style="13" customWidth="1"/>
    <col min="13567" max="13567" width="45.85546875" style="13" bestFit="1" customWidth="1"/>
    <col min="13568" max="13822" width="11.42578125" style="13" customWidth="1"/>
    <col min="13823" max="13823" width="45.85546875" style="13" bestFit="1" customWidth="1"/>
    <col min="13824" max="14078" width="11.42578125" style="13" customWidth="1"/>
    <col min="14079" max="14079" width="45.85546875" style="13" bestFit="1" customWidth="1"/>
    <col min="14080" max="14334" width="11.42578125" style="13" customWidth="1"/>
    <col min="14335" max="14335" width="45.85546875" style="13" bestFit="1" customWidth="1"/>
    <col min="14336" max="14590" width="11.42578125" style="13" customWidth="1"/>
    <col min="14591" max="14591" width="45.85546875" style="13" bestFit="1" customWidth="1"/>
    <col min="14592" max="14846" width="11.42578125" style="13" customWidth="1"/>
    <col min="14847" max="14847" width="45.85546875" style="13" bestFit="1" customWidth="1"/>
    <col min="14848" max="15102" width="11.42578125" style="13" customWidth="1"/>
    <col min="15103" max="15103" width="45.85546875" style="13" bestFit="1" customWidth="1"/>
    <col min="15104" max="15358" width="11.42578125" style="13" customWidth="1"/>
    <col min="15359" max="15359" width="45.85546875" style="13" bestFit="1" customWidth="1"/>
    <col min="15360" max="15614" width="11.42578125" style="13" customWidth="1"/>
    <col min="15615" max="15615" width="45.85546875" style="13" bestFit="1" customWidth="1"/>
    <col min="15616" max="15870" width="11.42578125" style="13" customWidth="1"/>
    <col min="15871" max="15871" width="45.85546875" style="13" bestFit="1" customWidth="1"/>
    <col min="15872" max="16126" width="11.42578125" style="13" customWidth="1"/>
    <col min="16127" max="16127" width="45.85546875" style="13" bestFit="1" customWidth="1"/>
    <col min="16128" max="16384" width="11.42578125" style="13" customWidth="1"/>
  </cols>
  <sheetData>
    <row r="1" spans="1:19" s="1" customFormat="1" ht="15.75" x14ac:dyDescent="0.25">
      <c r="A1" s="1" t="s">
        <v>0</v>
      </c>
    </row>
    <row r="2" spans="1:19" s="7" customFormat="1" ht="22.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  <c r="Q2" s="4" t="s">
        <v>16</v>
      </c>
      <c r="R2" s="5" t="s">
        <v>17</v>
      </c>
      <c r="S2" s="6" t="s">
        <v>18</v>
      </c>
    </row>
    <row r="3" spans="1:19" s="7" customFormat="1" ht="22.5" x14ac:dyDescent="0.25">
      <c r="A3" s="8"/>
      <c r="B3" s="3" t="s">
        <v>19</v>
      </c>
      <c r="C3" s="3" t="s">
        <v>20</v>
      </c>
      <c r="D3" s="3" t="s">
        <v>21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22</v>
      </c>
      <c r="J3" s="3" t="s">
        <v>19</v>
      </c>
      <c r="K3" s="3" t="s">
        <v>23</v>
      </c>
      <c r="L3" s="3" t="s">
        <v>24</v>
      </c>
      <c r="M3" s="3" t="s">
        <v>19</v>
      </c>
      <c r="N3" s="3" t="s">
        <v>24</v>
      </c>
      <c r="O3" s="3" t="s">
        <v>23</v>
      </c>
      <c r="P3" s="3" t="s">
        <v>25</v>
      </c>
      <c r="Q3" s="3" t="s">
        <v>26</v>
      </c>
      <c r="R3" s="3" t="s">
        <v>24</v>
      </c>
      <c r="S3" s="9" t="s">
        <v>24</v>
      </c>
    </row>
    <row r="4" spans="1:19" ht="15.75" thickBot="1" x14ac:dyDescent="0.3">
      <c r="A4" s="10" t="s">
        <v>27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x14ac:dyDescent="0.25">
      <c r="A5" s="14" t="s">
        <v>28</v>
      </c>
      <c r="B5" s="15">
        <v>6.34</v>
      </c>
      <c r="C5" s="15">
        <v>6.34</v>
      </c>
      <c r="D5" s="15">
        <v>6.34</v>
      </c>
      <c r="E5" s="15">
        <v>6.34</v>
      </c>
      <c r="F5" s="15">
        <v>6.34</v>
      </c>
      <c r="G5" s="15">
        <v>6.34</v>
      </c>
      <c r="H5" s="15">
        <v>6.34</v>
      </c>
      <c r="I5" s="15">
        <v>6.34</v>
      </c>
      <c r="J5" s="15">
        <v>6.34</v>
      </c>
      <c r="K5" s="15">
        <v>6.34</v>
      </c>
      <c r="L5" s="15">
        <v>6.34</v>
      </c>
      <c r="M5" s="15">
        <v>6.34</v>
      </c>
      <c r="N5" s="15">
        <v>6.34</v>
      </c>
      <c r="O5" s="15">
        <v>6.34</v>
      </c>
      <c r="P5" s="15"/>
      <c r="Q5" s="15"/>
      <c r="R5" s="16"/>
      <c r="S5" s="12"/>
    </row>
    <row r="6" spans="1:19" x14ac:dyDescent="0.25">
      <c r="A6" s="17" t="s">
        <v>29</v>
      </c>
      <c r="B6" s="15">
        <v>1.2</v>
      </c>
      <c r="C6" s="15">
        <v>1.2</v>
      </c>
      <c r="D6" s="15">
        <v>1.2</v>
      </c>
      <c r="E6" s="15">
        <v>1.2</v>
      </c>
      <c r="F6" s="15">
        <v>1.2</v>
      </c>
      <c r="G6" s="15">
        <v>1.2</v>
      </c>
      <c r="H6" s="15">
        <v>1.2</v>
      </c>
      <c r="I6" s="15">
        <v>1.2</v>
      </c>
      <c r="J6" s="15">
        <v>1.2</v>
      </c>
      <c r="K6" s="15">
        <v>1.2</v>
      </c>
      <c r="L6" s="15">
        <v>1.2</v>
      </c>
      <c r="M6" s="15">
        <v>1.2</v>
      </c>
      <c r="N6" s="15">
        <v>1.2</v>
      </c>
      <c r="O6" s="15">
        <v>1.2</v>
      </c>
      <c r="P6" s="15"/>
      <c r="Q6" s="15"/>
      <c r="R6" s="16"/>
      <c r="S6" s="12"/>
    </row>
    <row r="7" spans="1:19" x14ac:dyDescent="0.25">
      <c r="A7" s="18" t="s">
        <v>30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0"/>
      <c r="S7" s="21"/>
    </row>
    <row r="8" spans="1:19" s="26" customFormat="1" ht="15.75" thickBot="1" x14ac:dyDescent="0.3">
      <c r="A8" s="22" t="s">
        <v>31</v>
      </c>
      <c r="B8" s="23">
        <f t="shared" ref="B8:Q8" si="0">SUM(B5:B7)</f>
        <v>7.54</v>
      </c>
      <c r="C8" s="23">
        <f t="shared" si="0"/>
        <v>7.54</v>
      </c>
      <c r="D8" s="23">
        <f t="shared" si="0"/>
        <v>7.54</v>
      </c>
      <c r="E8" s="23">
        <f t="shared" si="0"/>
        <v>7.54</v>
      </c>
      <c r="F8" s="23">
        <f t="shared" si="0"/>
        <v>7.54</v>
      </c>
      <c r="G8" s="23">
        <f t="shared" si="0"/>
        <v>7.54</v>
      </c>
      <c r="H8" s="23">
        <f t="shared" si="0"/>
        <v>7.54</v>
      </c>
      <c r="I8" s="23">
        <f t="shared" si="0"/>
        <v>7.54</v>
      </c>
      <c r="J8" s="23">
        <f t="shared" si="0"/>
        <v>7.54</v>
      </c>
      <c r="K8" s="23">
        <f t="shared" si="0"/>
        <v>7.54</v>
      </c>
      <c r="L8" s="23">
        <f t="shared" si="0"/>
        <v>7.54</v>
      </c>
      <c r="M8" s="23">
        <f t="shared" si="0"/>
        <v>7.54</v>
      </c>
      <c r="N8" s="23">
        <f t="shared" si="0"/>
        <v>7.54</v>
      </c>
      <c r="O8" s="23">
        <f t="shared" si="0"/>
        <v>7.54</v>
      </c>
      <c r="P8" s="23">
        <f t="shared" si="0"/>
        <v>0</v>
      </c>
      <c r="Q8" s="23">
        <f t="shared" si="0"/>
        <v>0</v>
      </c>
      <c r="R8" s="24"/>
      <c r="S8" s="25"/>
    </row>
    <row r="9" spans="1:19" ht="15.75" thickBot="1" x14ac:dyDescent="0.3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ht="22.5" customHeight="1" thickBot="1" x14ac:dyDescent="0.3">
      <c r="A10" s="27" t="s">
        <v>32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25">
      <c r="A11" s="28" t="s">
        <v>33</v>
      </c>
      <c r="B11" s="15">
        <v>0.96</v>
      </c>
      <c r="C11" s="15">
        <v>0.96</v>
      </c>
      <c r="D11" s="15">
        <v>0.96</v>
      </c>
      <c r="E11" s="15">
        <v>0.96</v>
      </c>
      <c r="F11" s="15">
        <v>0.96</v>
      </c>
      <c r="G11" s="15">
        <v>0.96</v>
      </c>
      <c r="H11" s="15">
        <v>0.96</v>
      </c>
      <c r="I11" s="15">
        <v>0.96</v>
      </c>
      <c r="J11" s="15">
        <v>0.96</v>
      </c>
      <c r="K11" s="15">
        <v>0.96</v>
      </c>
      <c r="L11" s="15">
        <v>0.96</v>
      </c>
      <c r="M11" s="15">
        <v>0.96</v>
      </c>
      <c r="N11" s="15">
        <v>0.96</v>
      </c>
      <c r="O11" s="15">
        <v>0.96</v>
      </c>
      <c r="P11" s="15"/>
      <c r="Q11" s="15"/>
      <c r="R11" s="15"/>
      <c r="S11" s="15"/>
    </row>
    <row r="12" spans="1:19" x14ac:dyDescent="0.25">
      <c r="A12" s="28" t="s">
        <v>34</v>
      </c>
      <c r="B12" s="15">
        <v>1.22</v>
      </c>
      <c r="C12" s="15">
        <v>1.22</v>
      </c>
      <c r="D12" s="15">
        <v>1.22</v>
      </c>
      <c r="E12" s="15">
        <v>1.22</v>
      </c>
      <c r="F12" s="15">
        <v>1.22</v>
      </c>
      <c r="G12" s="15">
        <v>1.22</v>
      </c>
      <c r="H12" s="15">
        <v>1.22</v>
      </c>
      <c r="I12" s="15">
        <v>1.22</v>
      </c>
      <c r="J12" s="15">
        <v>1.22</v>
      </c>
      <c r="K12" s="15">
        <v>1.22</v>
      </c>
      <c r="L12" s="15">
        <v>1.22</v>
      </c>
      <c r="M12" s="15">
        <v>1.22</v>
      </c>
      <c r="N12" s="15">
        <v>1.22</v>
      </c>
      <c r="O12" s="15">
        <v>1.22</v>
      </c>
      <c r="P12" s="15"/>
      <c r="Q12" s="15"/>
      <c r="R12" s="15"/>
      <c r="S12" s="15"/>
    </row>
    <row r="13" spans="1:19" x14ac:dyDescent="0.25">
      <c r="A13" s="28" t="s">
        <v>35</v>
      </c>
      <c r="B13" s="15">
        <v>0.78</v>
      </c>
      <c r="C13" s="15">
        <v>0.78</v>
      </c>
      <c r="D13" s="15">
        <v>0.78</v>
      </c>
      <c r="E13" s="15">
        <v>0.78</v>
      </c>
      <c r="F13" s="15">
        <v>0.78</v>
      </c>
      <c r="G13" s="15">
        <v>0.78</v>
      </c>
      <c r="H13" s="15">
        <v>0.78</v>
      </c>
      <c r="I13" s="15">
        <v>0.78</v>
      </c>
      <c r="J13" s="15">
        <v>0.78</v>
      </c>
      <c r="K13" s="15">
        <v>0.78</v>
      </c>
      <c r="L13" s="29">
        <v>0.78</v>
      </c>
      <c r="M13" s="15">
        <v>0.78</v>
      </c>
      <c r="N13" s="15">
        <v>0.78</v>
      </c>
      <c r="O13" s="15">
        <v>0.78</v>
      </c>
      <c r="P13" s="15"/>
      <c r="Q13" s="15"/>
      <c r="R13" s="15"/>
      <c r="S13" s="15"/>
    </row>
    <row r="14" spans="1:19" x14ac:dyDescent="0.25">
      <c r="A14" s="28" t="s">
        <v>36</v>
      </c>
      <c r="B14" s="15">
        <v>5.1079999999999997</v>
      </c>
      <c r="C14" s="15">
        <v>5.56</v>
      </c>
      <c r="D14" s="15">
        <v>5.31</v>
      </c>
      <c r="E14" s="15">
        <v>4.9450000000000003</v>
      </c>
      <c r="F14" s="15">
        <v>4.6230000000000002</v>
      </c>
      <c r="G14" s="15">
        <v>4.92</v>
      </c>
      <c r="H14" s="30">
        <v>3.73</v>
      </c>
      <c r="I14" s="15">
        <v>4.7320000000000002</v>
      </c>
      <c r="J14" s="15">
        <v>4.9800000000000004</v>
      </c>
      <c r="K14" s="16">
        <v>5.07</v>
      </c>
      <c r="L14" s="12">
        <v>4.6900000000000004</v>
      </c>
      <c r="M14" s="15">
        <v>5.46</v>
      </c>
      <c r="N14" s="15">
        <v>5.07</v>
      </c>
      <c r="O14" s="15">
        <v>5.44</v>
      </c>
      <c r="P14" s="31"/>
      <c r="Q14" s="31"/>
      <c r="R14" s="31"/>
      <c r="S14" s="31"/>
    </row>
    <row r="15" spans="1:19" x14ac:dyDescent="0.25">
      <c r="A15" s="28" t="s">
        <v>37</v>
      </c>
      <c r="B15" s="15">
        <v>16</v>
      </c>
      <c r="C15" s="15">
        <v>12.19</v>
      </c>
      <c r="D15" s="15">
        <v>10.47</v>
      </c>
      <c r="E15" s="15">
        <v>8.17</v>
      </c>
      <c r="F15" s="15">
        <v>10.47</v>
      </c>
      <c r="G15" s="15">
        <v>8.0500000000000007</v>
      </c>
      <c r="H15" s="15">
        <v>9.09</v>
      </c>
      <c r="I15" s="15">
        <v>10.31</v>
      </c>
      <c r="J15" s="15">
        <v>9.33</v>
      </c>
      <c r="K15" s="15">
        <v>9.36</v>
      </c>
      <c r="L15" s="32">
        <v>10.35</v>
      </c>
      <c r="M15" s="15">
        <v>11.32</v>
      </c>
      <c r="N15" s="15">
        <v>10.18</v>
      </c>
      <c r="O15" s="15">
        <v>12.11</v>
      </c>
      <c r="P15" s="15"/>
      <c r="Q15" s="15"/>
      <c r="R15" s="32"/>
      <c r="S15" s="15"/>
    </row>
    <row r="16" spans="1:19" x14ac:dyDescent="0.25">
      <c r="A16" s="28" t="s">
        <v>38</v>
      </c>
      <c r="B16" s="15">
        <v>3.81</v>
      </c>
      <c r="C16" s="15">
        <f>B16</f>
        <v>3.81</v>
      </c>
      <c r="D16" s="15">
        <v>3.81</v>
      </c>
      <c r="E16" s="15">
        <v>3.81</v>
      </c>
      <c r="F16" s="15">
        <v>3.81</v>
      </c>
      <c r="G16" s="15">
        <v>3.81</v>
      </c>
      <c r="H16" s="15">
        <v>3.81</v>
      </c>
      <c r="I16" s="15">
        <v>3.81</v>
      </c>
      <c r="J16" s="15">
        <v>3.81</v>
      </c>
      <c r="K16" s="15">
        <v>3.81</v>
      </c>
      <c r="L16" s="15">
        <v>3.81</v>
      </c>
      <c r="M16" s="15">
        <v>3.81</v>
      </c>
      <c r="N16" s="15">
        <v>3.81</v>
      </c>
      <c r="O16" s="15">
        <v>3.81</v>
      </c>
      <c r="P16" s="15"/>
      <c r="Q16" s="15"/>
      <c r="R16" s="15"/>
      <c r="S16" s="15"/>
    </row>
    <row r="17" spans="1:19" s="26" customFormat="1" ht="15.75" thickBot="1" x14ac:dyDescent="0.3">
      <c r="A17" s="33" t="s">
        <v>39</v>
      </c>
      <c r="B17" s="23">
        <f t="shared" ref="B17:S17" si="1">SUM(B11:B16)</f>
        <v>27.877999999999997</v>
      </c>
      <c r="C17" s="23">
        <f t="shared" si="1"/>
        <v>24.52</v>
      </c>
      <c r="D17" s="23">
        <f t="shared" si="1"/>
        <v>22.55</v>
      </c>
      <c r="E17" s="23">
        <f t="shared" si="1"/>
        <v>19.884999999999998</v>
      </c>
      <c r="F17" s="23">
        <f t="shared" si="1"/>
        <v>21.863</v>
      </c>
      <c r="G17" s="23">
        <f t="shared" si="1"/>
        <v>19.739999999999998</v>
      </c>
      <c r="H17" s="23">
        <f t="shared" si="1"/>
        <v>19.59</v>
      </c>
      <c r="I17" s="23">
        <f t="shared" si="1"/>
        <v>21.812000000000001</v>
      </c>
      <c r="J17" s="23">
        <f t="shared" si="1"/>
        <v>21.08</v>
      </c>
      <c r="K17" s="23">
        <f t="shared" si="1"/>
        <v>21.2</v>
      </c>
      <c r="L17" s="23">
        <f t="shared" si="1"/>
        <v>21.81</v>
      </c>
      <c r="M17" s="23">
        <f t="shared" si="1"/>
        <v>23.55</v>
      </c>
      <c r="N17" s="23">
        <f t="shared" si="1"/>
        <v>22.02</v>
      </c>
      <c r="O17" s="23">
        <f t="shared" si="1"/>
        <v>24.319999999999997</v>
      </c>
      <c r="P17" s="23">
        <f t="shared" si="1"/>
        <v>0</v>
      </c>
      <c r="Q17" s="23">
        <f t="shared" si="1"/>
        <v>0</v>
      </c>
      <c r="R17" s="23">
        <f t="shared" si="1"/>
        <v>0</v>
      </c>
      <c r="S17" s="23">
        <f t="shared" si="1"/>
        <v>0</v>
      </c>
    </row>
    <row r="18" spans="1:19" ht="15.75" thickBot="1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s="26" customFormat="1" ht="15.75" thickBot="1" x14ac:dyDescent="0.3">
      <c r="A19" s="27" t="s">
        <v>40</v>
      </c>
      <c r="B19" s="34">
        <v>3.52</v>
      </c>
      <c r="C19" s="34">
        <v>3.52</v>
      </c>
      <c r="D19" s="34">
        <v>3.52</v>
      </c>
      <c r="E19" s="34">
        <v>3.52</v>
      </c>
      <c r="F19" s="34">
        <v>3.52</v>
      </c>
      <c r="G19" s="34">
        <v>3.52</v>
      </c>
      <c r="H19" s="34">
        <v>3.52</v>
      </c>
      <c r="I19" s="34">
        <v>3.52</v>
      </c>
      <c r="J19" s="34">
        <v>3.52</v>
      </c>
      <c r="K19" s="34">
        <v>3.52</v>
      </c>
      <c r="L19" s="34">
        <v>3.52</v>
      </c>
      <c r="M19" s="34">
        <v>3.52</v>
      </c>
      <c r="N19" s="34">
        <v>3.52</v>
      </c>
      <c r="O19" s="34">
        <v>3.52</v>
      </c>
      <c r="P19" s="34"/>
      <c r="Q19" s="34"/>
      <c r="R19" s="34"/>
      <c r="S19" s="34"/>
    </row>
    <row r="20" spans="1:19" ht="15.75" thickBot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s="26" customFormat="1" ht="15.75" thickBot="1" x14ac:dyDescent="0.3">
      <c r="A21" s="35" t="s">
        <v>41</v>
      </c>
      <c r="B21" s="36">
        <f t="shared" ref="B21:S21" si="2">B8+B17+B19</f>
        <v>38.938000000000002</v>
      </c>
      <c r="C21" s="36">
        <f t="shared" si="2"/>
        <v>35.580000000000005</v>
      </c>
      <c r="D21" s="36">
        <f t="shared" si="2"/>
        <v>33.61</v>
      </c>
      <c r="E21" s="36">
        <f t="shared" si="2"/>
        <v>30.944999999999997</v>
      </c>
      <c r="F21" s="36">
        <f t="shared" si="2"/>
        <v>32.923000000000002</v>
      </c>
      <c r="G21" s="36">
        <f t="shared" si="2"/>
        <v>30.799999999999997</v>
      </c>
      <c r="H21" s="36">
        <f t="shared" si="2"/>
        <v>30.65</v>
      </c>
      <c r="I21" s="36">
        <f t="shared" si="2"/>
        <v>32.872</v>
      </c>
      <c r="J21" s="36">
        <f t="shared" si="2"/>
        <v>32.14</v>
      </c>
      <c r="K21" s="36">
        <f t="shared" si="2"/>
        <v>32.26</v>
      </c>
      <c r="L21" s="36">
        <f t="shared" si="2"/>
        <v>32.869999999999997</v>
      </c>
      <c r="M21" s="36">
        <f t="shared" si="2"/>
        <v>34.61</v>
      </c>
      <c r="N21" s="36">
        <f t="shared" si="2"/>
        <v>33.08</v>
      </c>
      <c r="O21" s="36">
        <f t="shared" si="2"/>
        <v>35.379999999999995</v>
      </c>
      <c r="P21" s="36">
        <f t="shared" si="2"/>
        <v>0</v>
      </c>
      <c r="Q21" s="36">
        <f t="shared" si="2"/>
        <v>0</v>
      </c>
      <c r="R21" s="36">
        <f t="shared" si="2"/>
        <v>0</v>
      </c>
      <c r="S21" s="36">
        <f t="shared" si="2"/>
        <v>0</v>
      </c>
    </row>
    <row r="23" spans="1:19" x14ac:dyDescent="0.25">
      <c r="A23" s="26"/>
    </row>
    <row r="24" spans="1:19" x14ac:dyDescent="0.25">
      <c r="A24" s="26"/>
    </row>
    <row r="25" spans="1:19" x14ac:dyDescent="0.25">
      <c r="A25" s="26"/>
    </row>
    <row r="26" spans="1:19" x14ac:dyDescent="0.25">
      <c r="A26" s="26"/>
    </row>
    <row r="27" spans="1:19" x14ac:dyDescent="0.25">
      <c r="A27" s="26"/>
    </row>
    <row r="28" spans="1:19" x14ac:dyDescent="0.25">
      <c r="A28" s="26"/>
    </row>
    <row r="29" spans="1:19" x14ac:dyDescent="0.25">
      <c r="A29" s="26"/>
    </row>
    <row r="30" spans="1:19" s="26" customFormat="1" ht="13.5" x14ac:dyDescent="0.25"/>
    <row r="31" spans="1:19" s="26" customFormat="1" ht="13.5" x14ac:dyDescent="0.25"/>
  </sheetData>
  <pageMargins left="0.70000000000000007" right="0.70000000000000007" top="0.75" bottom="0.75" header="0.30000000000000004" footer="0.3000000000000000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NARANJA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Sebastian SCA</dc:creator>
  <cp:lastModifiedBy>San Sebastian 2</cp:lastModifiedBy>
  <cp:lastPrinted>2025-07-28T05:44:25Z</cp:lastPrinted>
  <dcterms:created xsi:type="dcterms:W3CDTF">2025-07-19T09:58:13Z</dcterms:created>
  <dcterms:modified xsi:type="dcterms:W3CDTF">2026-05-06T12:36:12Z</dcterms:modified>
</cp:coreProperties>
</file>