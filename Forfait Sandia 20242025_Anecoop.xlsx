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S:\Oficina CHF\Costos\Vanessa\Cierre Sandía 24-25\"/>
    </mc:Choice>
  </mc:AlternateContent>
  <xr:revisionPtr revIDLastSave="0" documentId="13_ncr:1_{ED016819-A69D-4162-BDCA-E1F124CD7C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" l="1"/>
  <c r="I21" i="1" s="1"/>
  <c r="H17" i="1" l="1"/>
  <c r="G17" i="1"/>
  <c r="F17" i="1"/>
  <c r="E17" i="1"/>
  <c r="D17" i="1"/>
  <c r="C17" i="1"/>
  <c r="B17" i="1"/>
  <c r="I8" i="1"/>
  <c r="H8" i="1"/>
  <c r="G8" i="1"/>
  <c r="F8" i="1"/>
  <c r="E8" i="1"/>
  <c r="D8" i="1"/>
  <c r="C8" i="1"/>
  <c r="B8" i="1"/>
  <c r="C21" i="1" l="1"/>
  <c r="D21" i="1"/>
  <c r="B21" i="1"/>
  <c r="E21" i="1"/>
  <c r="F21" i="1"/>
  <c r="G21" i="1"/>
  <c r="H21" i="1"/>
</calcChain>
</file>

<file path=xl/sharedStrings.xml><?xml version="1.0" encoding="utf-8"?>
<sst xmlns="http://schemas.openxmlformats.org/spreadsheetml/2006/main" count="32" uniqueCount="30">
  <si>
    <t>Importante, datos en céntimos de euro por Kg con DOS decimales</t>
  </si>
  <si>
    <t xml:space="preserve">Cooperativa San Sebastián </t>
  </si>
  <si>
    <t>ENCA. 18K. 60x40</t>
  </si>
  <si>
    <t>ENCA. 20K. 60x40</t>
  </si>
  <si>
    <t>ENCA. 20K. 64X24</t>
  </si>
  <si>
    <t>ENCA. 15K
50x30</t>
  </si>
  <si>
    <t>GRAN. 120K. 80x60</t>
  </si>
  <si>
    <t>GRAN. 180K. 80x60</t>
  </si>
  <si>
    <t>DESTRÍO</t>
  </si>
  <si>
    <t>CARTON</t>
  </si>
  <si>
    <t>IFCO</t>
  </si>
  <si>
    <t>CARTÓN</t>
  </si>
  <si>
    <t>BOX CARTON
MERCADONA</t>
  </si>
  <si>
    <t>BOX</t>
  </si>
  <si>
    <t>GREENBOX</t>
  </si>
  <si>
    <t>1. RECOLECCION Y TRANSPORTE</t>
  </si>
  <si>
    <t>1.1 Mano de obra de recolección.</t>
  </si>
  <si>
    <t>1.2 Transporte campo-almacén</t>
  </si>
  <si>
    <t>1.3 Otros</t>
  </si>
  <si>
    <t>TOTAL M.O. RECOLECCION Y TRANSPORTE</t>
  </si>
  <si>
    <t>2. COSTES DE CONFECCION</t>
  </si>
  <si>
    <t>2.1 Mano obra pre-confeccion</t>
  </si>
  <si>
    <t>2.2 Mano obra post-confección</t>
  </si>
  <si>
    <t>2.3 Mano de obra auxiliar</t>
  </si>
  <si>
    <t>2.4 Mano obra de confección en línea</t>
  </si>
  <si>
    <t>2.5 Envases, etiquetas, palets, etc.</t>
  </si>
  <si>
    <t>2.6 Otros (Electricidad, consumibles, amortizaciones…)</t>
  </si>
  <si>
    <t>TOTAL COSTES DE CONFECCION</t>
  </si>
  <si>
    <t>3. COSTES GENERALES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</si>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</sst>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 wrapText="1"/>
    </xf>
    <xf numFmtId="4" fontId="1" fillId="5" borderId="5" xfId="0" applyNumberFormat="1" applyFont="1" applyFill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5" fillId="0" borderId="0" xfId="0" applyFont="1"/>
    <xf numFmtId="4" fontId="6" fillId="0" borderId="6" xfId="0" applyNumberFormat="1" applyFont="1" applyBorder="1" applyAlignment="1">
      <alignment horizontal="justify" vertical="center"/>
    </xf>
    <xf numFmtId="2" fontId="5" fillId="3" borderId="7" xfId="0" applyNumberFormat="1" applyFont="1" applyFill="1" applyBorder="1" applyAlignment="1">
      <alignment horizontal="center" vertical="center"/>
    </xf>
    <xf numFmtId="2" fontId="3" fillId="3" borderId="7" xfId="0" applyNumberFormat="1" applyFont="1" applyFill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4" fontId="6" fillId="0" borderId="8" xfId="0" applyNumberFormat="1" applyFont="1" applyBorder="1" applyAlignment="1">
      <alignment horizontal="justify" vertical="center"/>
    </xf>
    <xf numFmtId="4" fontId="6" fillId="0" borderId="9" xfId="0" applyNumberFormat="1" applyFont="1" applyBorder="1" applyAlignment="1">
      <alignment horizontal="justify" vertical="center"/>
    </xf>
    <xf numFmtId="4" fontId="1" fillId="4" borderId="10" xfId="0" applyNumberFormat="1" applyFont="1" applyFill="1" applyBorder="1" applyAlignment="1">
      <alignment horizontal="justify" vertical="center"/>
    </xf>
    <xf numFmtId="2" fontId="3" fillId="4" borderId="7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  <xf numFmtId="4" fontId="1" fillId="5" borderId="5" xfId="0" applyNumberFormat="1" applyFont="1" applyFill="1" applyBorder="1" applyAlignment="1">
      <alignment horizontal="center" vertical="center"/>
    </xf>
    <xf numFmtId="4" fontId="5" fillId="0" borderId="8" xfId="0" applyNumberFormat="1" applyFont="1" applyBorder="1" applyAlignment="1">
      <alignment vertical="center" wrapText="1"/>
    </xf>
    <xf numFmtId="4" fontId="1" fillId="6" borderId="5" xfId="0" applyNumberFormat="1" applyFont="1" applyFill="1" applyBorder="1" applyAlignment="1">
      <alignment horizontal="justify" vertical="center"/>
    </xf>
    <xf numFmtId="49" fontId="4" fillId="4" borderId="2" xfId="0" applyNumberFormat="1" applyFont="1" applyFill="1" applyBorder="1" applyAlignment="1">
      <alignment horizontal="center" vertical="center" wrapText="1"/>
    </xf>
    <xf numFmtId="49" fontId="4" fillId="4" borderId="4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" fontId="5" fillId="3" borderId="11" xfId="0" applyNumberFormat="1" applyFont="1" applyFill="1" applyBorder="1" applyAlignment="1">
      <alignment horizontal="center" vertical="center"/>
    </xf>
    <xf numFmtId="2" fontId="3" fillId="3" borderId="12" xfId="0" applyNumberFormat="1" applyFont="1" applyFill="1" applyBorder="1" applyAlignment="1">
      <alignment horizontal="center" vertical="center"/>
    </xf>
    <xf numFmtId="4" fontId="7" fillId="4" borderId="13" xfId="0" applyNumberFormat="1" applyFont="1" applyFill="1" applyBorder="1" applyAlignment="1">
      <alignment vertical="center"/>
    </xf>
    <xf numFmtId="2" fontId="3" fillId="3" borderId="14" xfId="0" applyNumberFormat="1" applyFont="1" applyFill="1" applyBorder="1" applyAlignment="1">
      <alignment horizontal="center" vertical="center"/>
    </xf>
    <xf numFmtId="2" fontId="3" fillId="3" borderId="1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N17" sqref="N17"/>
    </sheetView>
  </sheetViews>
  <sheetFormatPr baseColWidth="10" defaultColWidth="9.140625" defaultRowHeight="15" x14ac:dyDescent="0.25"/>
  <cols>
    <col min="1" max="1" width="41.42578125" customWidth="1"/>
    <col min="2" max="2" width="11.5703125" customWidth="1"/>
    <col min="3" max="3" width="10.85546875" customWidth="1"/>
    <col min="4" max="4" width="10.42578125" customWidth="1"/>
    <col min="5" max="5" width="11.85546875" customWidth="1"/>
    <col min="6" max="6" width="12.42578125" customWidth="1"/>
    <col min="7" max="8" width="10.7109375" customWidth="1"/>
  </cols>
  <sheetData>
    <row r="1" spans="1:9" ht="15.75" x14ac:dyDescent="0.25">
      <c r="A1" s="25" t="s">
        <v>0</v>
      </c>
      <c r="B1" s="25"/>
      <c r="C1" s="25"/>
      <c r="D1" s="25"/>
      <c r="E1" s="25"/>
      <c r="F1" s="1"/>
      <c r="G1" s="1"/>
      <c r="H1" s="1"/>
      <c r="I1" s="1"/>
    </row>
    <row r="2" spans="1:9" ht="22.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6</v>
      </c>
      <c r="H2" s="3" t="s">
        <v>7</v>
      </c>
      <c r="I2" s="23" t="s">
        <v>8</v>
      </c>
    </row>
    <row r="3" spans="1:9" ht="23.25" thickBot="1" x14ac:dyDescent="0.3">
      <c r="A3" s="4"/>
      <c r="B3" s="5" t="s">
        <v>9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24"/>
    </row>
    <row r="4" spans="1:9" ht="23.25" customHeight="1" thickBot="1" x14ac:dyDescent="0.3">
      <c r="A4" s="6" t="s">
        <v>15</v>
      </c>
      <c r="B4" s="7"/>
      <c r="C4" s="7"/>
      <c r="D4" s="7"/>
      <c r="E4" s="7"/>
      <c r="F4" s="8"/>
      <c r="G4" s="7"/>
      <c r="H4" s="9"/>
      <c r="I4" s="9"/>
    </row>
    <row r="5" spans="1:9" ht="21.95" customHeight="1" x14ac:dyDescent="0.25">
      <c r="A5" s="10" t="s">
        <v>16</v>
      </c>
      <c r="B5" s="11">
        <v>0</v>
      </c>
      <c r="C5" s="11">
        <v>0</v>
      </c>
      <c r="D5" s="11">
        <v>0</v>
      </c>
      <c r="E5" s="11">
        <v>0</v>
      </c>
      <c r="F5" s="12">
        <v>0</v>
      </c>
      <c r="G5" s="11">
        <v>0</v>
      </c>
      <c r="H5" s="11">
        <v>0</v>
      </c>
      <c r="I5" s="13"/>
    </row>
    <row r="6" spans="1:9" ht="21.95" customHeight="1" x14ac:dyDescent="0.25">
      <c r="A6" s="14" t="s">
        <v>17</v>
      </c>
      <c r="B6" s="11">
        <v>1.01</v>
      </c>
      <c r="C6" s="11">
        <v>1.01</v>
      </c>
      <c r="D6" s="11">
        <v>1.01</v>
      </c>
      <c r="E6" s="11">
        <v>1.01</v>
      </c>
      <c r="F6" s="11">
        <v>1.01</v>
      </c>
      <c r="G6" s="11">
        <v>1.01</v>
      </c>
      <c r="H6" s="11">
        <v>1.01</v>
      </c>
      <c r="I6" s="13"/>
    </row>
    <row r="7" spans="1:9" ht="21.95" customHeight="1" x14ac:dyDescent="0.25">
      <c r="A7" s="15" t="s">
        <v>18</v>
      </c>
      <c r="B7" s="11"/>
      <c r="C7" s="11"/>
      <c r="D7" s="11"/>
      <c r="E7" s="11"/>
      <c r="F7" s="12"/>
      <c r="G7" s="11"/>
      <c r="H7" s="11"/>
      <c r="I7" s="13"/>
    </row>
    <row r="8" spans="1:9" ht="21.75" customHeight="1" thickBot="1" x14ac:dyDescent="0.3">
      <c r="A8" s="16" t="s">
        <v>19</v>
      </c>
      <c r="B8" s="12">
        <f>SUM(B5:B7)</f>
        <v>1.01</v>
      </c>
      <c r="C8" s="12">
        <f>SUM(C5:C7)</f>
        <v>1.01</v>
      </c>
      <c r="D8" s="12">
        <f>SUM(D5:D7)</f>
        <v>1.01</v>
      </c>
      <c r="E8" s="12">
        <f>SUM(E5:E7)</f>
        <v>1.01</v>
      </c>
      <c r="F8" s="12">
        <f t="shared" ref="F8:H8" si="0">SUM(F5:F7)</f>
        <v>1.01</v>
      </c>
      <c r="G8" s="12">
        <f t="shared" si="0"/>
        <v>1.01</v>
      </c>
      <c r="H8" s="12">
        <f t="shared" si="0"/>
        <v>1.01</v>
      </c>
      <c r="I8" s="17">
        <f>SUM(I5:I7)</f>
        <v>0</v>
      </c>
    </row>
    <row r="9" spans="1:9" ht="15.75" thickBot="1" x14ac:dyDescent="0.3">
      <c r="A9" s="9"/>
      <c r="B9" s="18"/>
      <c r="C9" s="18"/>
      <c r="D9" s="18"/>
      <c r="E9" s="18"/>
      <c r="F9" s="19"/>
      <c r="G9" s="18"/>
      <c r="H9" s="18"/>
      <c r="I9" s="7"/>
    </row>
    <row r="10" spans="1:9" ht="15.75" thickBot="1" x14ac:dyDescent="0.3">
      <c r="A10" s="20" t="s">
        <v>20</v>
      </c>
      <c r="B10" s="18"/>
      <c r="C10" s="18"/>
      <c r="D10" s="18"/>
      <c r="E10" s="18"/>
      <c r="F10" s="19"/>
      <c r="G10" s="18"/>
      <c r="H10" s="18"/>
      <c r="I10" s="7"/>
    </row>
    <row r="11" spans="1:9" ht="21.95" customHeight="1" x14ac:dyDescent="0.25">
      <c r="A11" s="21" t="s">
        <v>21</v>
      </c>
      <c r="B11" s="11">
        <v>0.91</v>
      </c>
      <c r="C11" s="11">
        <v>0.91</v>
      </c>
      <c r="D11" s="11">
        <v>0.91</v>
      </c>
      <c r="E11" s="11">
        <v>0.91</v>
      </c>
      <c r="F11" s="11">
        <v>0.91</v>
      </c>
      <c r="G11" s="11">
        <v>0.91</v>
      </c>
      <c r="H11" s="11">
        <v>0.91</v>
      </c>
      <c r="I11" s="11">
        <v>0.91</v>
      </c>
    </row>
    <row r="12" spans="1:9" ht="21.95" customHeight="1" x14ac:dyDescent="0.25">
      <c r="A12" s="21" t="s">
        <v>22</v>
      </c>
      <c r="B12" s="11">
        <v>1.1399999999999999</v>
      </c>
      <c r="C12" s="11">
        <v>1.1399999999999999</v>
      </c>
      <c r="D12" s="11">
        <v>1.1399999999999999</v>
      </c>
      <c r="E12" s="11">
        <v>1.1399999999999999</v>
      </c>
      <c r="F12" s="11">
        <v>1.1399999999999999</v>
      </c>
      <c r="G12" s="11">
        <v>1.1399999999999999</v>
      </c>
      <c r="H12" s="11">
        <v>1.1399999999999999</v>
      </c>
      <c r="I12" s="11">
        <v>1.1399999999999999</v>
      </c>
    </row>
    <row r="13" spans="1:9" ht="21.95" customHeight="1" x14ac:dyDescent="0.25">
      <c r="A13" s="21" t="s">
        <v>23</v>
      </c>
      <c r="B13" s="11">
        <v>0.56000000000000005</v>
      </c>
      <c r="C13" s="11">
        <v>0.56000000000000005</v>
      </c>
      <c r="D13" s="11">
        <v>0.56000000000000005</v>
      </c>
      <c r="E13" s="11">
        <v>0.56000000000000005</v>
      </c>
      <c r="F13" s="11">
        <v>0.56000000000000005</v>
      </c>
      <c r="G13" s="11">
        <v>0.56000000000000005</v>
      </c>
      <c r="H13" s="11">
        <v>0.56000000000000005</v>
      </c>
      <c r="I13" s="11">
        <v>0.56000000000000005</v>
      </c>
    </row>
    <row r="14" spans="1:9" ht="21.95" customHeight="1" x14ac:dyDescent="0.25">
      <c r="A14" s="21" t="s">
        <v>24</v>
      </c>
      <c r="B14" s="11">
        <v>1.877</v>
      </c>
      <c r="C14" s="11">
        <v>1.833</v>
      </c>
      <c r="D14" s="11">
        <v>1.9850000000000001</v>
      </c>
      <c r="E14" s="11">
        <v>2.0699999999999998</v>
      </c>
      <c r="F14" s="11">
        <v>1.67</v>
      </c>
      <c r="G14" s="11">
        <v>2.323</v>
      </c>
      <c r="H14" s="11">
        <v>1.9079999999999999</v>
      </c>
      <c r="I14" s="12">
        <v>1.68</v>
      </c>
    </row>
    <row r="15" spans="1:9" ht="21.95" customHeight="1" x14ac:dyDescent="0.25">
      <c r="A15" s="21" t="s">
        <v>25</v>
      </c>
      <c r="B15" s="11">
        <v>7.43</v>
      </c>
      <c r="C15" s="11">
        <v>7.09</v>
      </c>
      <c r="D15" s="11">
        <v>8.8000000000000007</v>
      </c>
      <c r="E15" s="11">
        <v>7.42</v>
      </c>
      <c r="F15" s="11">
        <v>4.58</v>
      </c>
      <c r="G15" s="11">
        <v>7.46</v>
      </c>
      <c r="H15" s="11">
        <v>9.09</v>
      </c>
      <c r="I15" s="11">
        <v>0.1</v>
      </c>
    </row>
    <row r="16" spans="1:9" ht="27.75" customHeight="1" thickBot="1" x14ac:dyDescent="0.3">
      <c r="A16" s="21" t="s">
        <v>26</v>
      </c>
      <c r="B16" s="26">
        <v>3.96</v>
      </c>
      <c r="C16" s="26">
        <v>3.96</v>
      </c>
      <c r="D16" s="26">
        <v>3.96</v>
      </c>
      <c r="E16" s="26">
        <v>3.96</v>
      </c>
      <c r="F16" s="26">
        <v>3.96</v>
      </c>
      <c r="G16" s="26">
        <v>3.96</v>
      </c>
      <c r="H16" s="26">
        <v>3.96</v>
      </c>
      <c r="I16" s="26">
        <v>3.96</v>
      </c>
    </row>
    <row r="17" spans="1:9" ht="21.75" customHeight="1" thickBot="1" x14ac:dyDescent="0.3">
      <c r="A17" s="28" t="s">
        <v>27</v>
      </c>
      <c r="B17" s="27">
        <f>SUM(B11:B16)</f>
        <v>15.876999999999999</v>
      </c>
      <c r="C17" s="29">
        <f t="shared" ref="C17:I17" si="1">SUM(C11:C16)</f>
        <v>15.492999999999999</v>
      </c>
      <c r="D17" s="29">
        <f t="shared" si="1"/>
        <v>17.355</v>
      </c>
      <c r="E17" s="29">
        <f t="shared" si="1"/>
        <v>16.059999999999999</v>
      </c>
      <c r="F17" s="29">
        <f t="shared" si="1"/>
        <v>12.82</v>
      </c>
      <c r="G17" s="29">
        <f t="shared" si="1"/>
        <v>16.353000000000002</v>
      </c>
      <c r="H17" s="29">
        <f t="shared" si="1"/>
        <v>17.568000000000001</v>
      </c>
      <c r="I17" s="30">
        <f t="shared" si="1"/>
        <v>8.35</v>
      </c>
    </row>
    <row r="18" spans="1:9" ht="15.75" thickBot="1" x14ac:dyDescent="0.3">
      <c r="A18" s="9"/>
      <c r="B18" s="7"/>
      <c r="C18" s="7"/>
      <c r="D18" s="7"/>
      <c r="E18" s="7"/>
      <c r="F18" s="8"/>
      <c r="G18" s="7"/>
      <c r="H18" s="7"/>
      <c r="I18" s="7"/>
    </row>
    <row r="19" spans="1:9" ht="15.75" thickBot="1" x14ac:dyDescent="0.3">
      <c r="A19" s="20" t="s">
        <v>28</v>
      </c>
      <c r="B19" s="11">
        <v>3.73</v>
      </c>
      <c r="C19" s="11">
        <v>3.73</v>
      </c>
      <c r="D19" s="11">
        <v>3.73</v>
      </c>
      <c r="E19" s="11">
        <v>3.73</v>
      </c>
      <c r="F19" s="11">
        <v>3.73</v>
      </c>
      <c r="G19" s="11">
        <v>3.73</v>
      </c>
      <c r="H19" s="11">
        <v>3.73</v>
      </c>
      <c r="I19" s="11">
        <v>3.73</v>
      </c>
    </row>
    <row r="20" spans="1:9" ht="15.75" thickBot="1" x14ac:dyDescent="0.3">
      <c r="A20" s="9"/>
      <c r="B20" s="7"/>
      <c r="C20" s="7"/>
      <c r="D20" s="7"/>
      <c r="E20" s="7"/>
      <c r="F20" s="8"/>
      <c r="G20" s="7"/>
      <c r="H20" s="7"/>
      <c r="I20" s="7"/>
    </row>
    <row r="21" spans="1:9" ht="15.75" thickBot="1" x14ac:dyDescent="0.3">
      <c r="A21" s="22" t="s">
        <v>29</v>
      </c>
      <c r="B21" s="12">
        <f t="shared" ref="B21:I21" si="2">B8+B17+B19</f>
        <v>20.617000000000001</v>
      </c>
      <c r="C21" s="12">
        <f t="shared" si="2"/>
        <v>20.233000000000001</v>
      </c>
      <c r="D21" s="12">
        <f t="shared" si="2"/>
        <v>22.095000000000002</v>
      </c>
      <c r="E21" s="12">
        <f t="shared" si="2"/>
        <v>20.8</v>
      </c>
      <c r="F21" s="12">
        <f t="shared" si="2"/>
        <v>17.559999999999999</v>
      </c>
      <c r="G21" s="12">
        <f t="shared" si="2"/>
        <v>21.093000000000004</v>
      </c>
      <c r="H21" s="12">
        <f t="shared" si="2"/>
        <v>22.308000000000003</v>
      </c>
      <c r="I21" s="12">
        <f t="shared" si="2"/>
        <v>12.08</v>
      </c>
    </row>
  </sheetData>
  <mergeCells count="2">
    <mergeCell ref="I2:I3"/>
    <mergeCell ref="A1:E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Costos</dc:creator>
  <cp:lastModifiedBy>San Sebastian SCA</cp:lastModifiedBy>
  <cp:lastPrinted>2026-04-16T11:20:19Z</cp:lastPrinted>
  <dcterms:created xsi:type="dcterms:W3CDTF">2015-06-05T18:19:34Z</dcterms:created>
  <dcterms:modified xsi:type="dcterms:W3CDTF">2026-04-16T11:21:08Z</dcterms:modified>
</cp:coreProperties>
</file>