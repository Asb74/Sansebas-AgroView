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Oficina CHF\Costos\Vanessa\Cierre mandarina 2024-2025\Cierre mandarina 20242025\"/>
    </mc:Choice>
  </mc:AlternateContent>
  <xr:revisionPtr revIDLastSave="0" documentId="13_ncr:1_{0D2E3E89-BA5E-44EA-B2D6-E6E08F3AEEF1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Resumen forfaits" sheetId="1" r:id="rId1"/>
    <sheet name="Resumen por confecciones" sheetId="2" r:id="rId2"/>
    <sheet name="VENTA en CAMPO" sheetId="3" r:id="rId3"/>
    <sheet name="PAGOS LORA" sheetId="4" r:id="rId4"/>
    <sheet name="Comparativa" sheetId="5" r:id="rId5"/>
  </sheets>
  <externalReferences>
    <externalReference r:id="rId6"/>
  </externalReferences>
  <definedNames>
    <definedName name="_xlnm._FilterDatabase" localSheetId="4" hidden="1">Comparativa!$A$1:$K$149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N25" i="3" l="1"/>
  <c r="N19" i="3"/>
  <c r="N20" i="3"/>
  <c r="N18" i="3"/>
  <c r="N17" i="3"/>
  <c r="L25" i="3"/>
  <c r="F26" i="1"/>
  <c r="E40" i="4"/>
  <c r="D28" i="4"/>
  <c r="G26" i="4"/>
  <c r="F26" i="4"/>
  <c r="F25" i="4"/>
  <c r="G25" i="4" s="1"/>
  <c r="G28" i="4" s="1"/>
  <c r="F19" i="4"/>
  <c r="M14" i="4"/>
  <c r="M9" i="4"/>
  <c r="M6" i="4" s="1"/>
  <c r="O7" i="4"/>
  <c r="G7" i="4"/>
  <c r="F7" i="4"/>
  <c r="E7" i="4"/>
  <c r="D18" i="4" s="1"/>
  <c r="D19" i="4" s="1"/>
  <c r="E19" i="4" s="1"/>
  <c r="L6" i="4"/>
  <c r="K6" i="4"/>
  <c r="J6" i="4"/>
  <c r="I6" i="4"/>
  <c r="H6" i="4"/>
  <c r="D17" i="3"/>
  <c r="D19" i="3" s="1"/>
  <c r="P12" i="3"/>
  <c r="D11" i="3"/>
  <c r="C11" i="3"/>
  <c r="F11" i="3" s="1"/>
  <c r="P10" i="3"/>
  <c r="C10" i="3"/>
  <c r="F10" i="3" s="1"/>
  <c r="M9" i="3"/>
  <c r="P9" i="3" s="1"/>
  <c r="D9" i="3"/>
  <c r="P7" i="3"/>
  <c r="E7" i="3"/>
  <c r="C7" i="3"/>
  <c r="C9" i="3" s="1"/>
  <c r="P5" i="3"/>
  <c r="P4" i="3"/>
  <c r="P3" i="3"/>
  <c r="M67" i="2"/>
  <c r="N67" i="2" s="1"/>
  <c r="F67" i="2"/>
  <c r="D67" i="2"/>
  <c r="M66" i="2"/>
  <c r="F66" i="2"/>
  <c r="D66" i="2"/>
  <c r="N66" i="2" s="1"/>
  <c r="M53" i="2"/>
  <c r="D53" i="2"/>
  <c r="F53" i="2" s="1"/>
  <c r="M52" i="2"/>
  <c r="D52" i="2"/>
  <c r="F52" i="2" s="1"/>
  <c r="M50" i="2"/>
  <c r="N50" i="2" s="1"/>
  <c r="F50" i="2"/>
  <c r="D41" i="2"/>
  <c r="E41" i="2" s="1"/>
  <c r="D40" i="2"/>
  <c r="E40" i="2" s="1"/>
  <c r="N39" i="2"/>
  <c r="M39" i="2"/>
  <c r="F39" i="2"/>
  <c r="E39" i="2"/>
  <c r="M38" i="2"/>
  <c r="N38" i="2" s="1"/>
  <c r="F38" i="2"/>
  <c r="E38" i="2"/>
  <c r="N37" i="2"/>
  <c r="M37" i="2"/>
  <c r="F37" i="2"/>
  <c r="E37" i="2"/>
  <c r="N36" i="2"/>
  <c r="M36" i="2"/>
  <c r="F36" i="2"/>
  <c r="E36" i="2"/>
  <c r="M35" i="2"/>
  <c r="N35" i="2" s="1"/>
  <c r="F35" i="2"/>
  <c r="E35" i="2"/>
  <c r="N34" i="2"/>
  <c r="M34" i="2"/>
  <c r="F34" i="2"/>
  <c r="E34" i="2"/>
  <c r="N33" i="2"/>
  <c r="M33" i="2"/>
  <c r="F33" i="2"/>
  <c r="F40" i="2" s="1"/>
  <c r="E33" i="2"/>
  <c r="I24" i="2"/>
  <c r="M24" i="2" s="1"/>
  <c r="N24" i="2" s="1"/>
  <c r="F24" i="2"/>
  <c r="D24" i="2"/>
  <c r="F23" i="2"/>
  <c r="N22" i="2"/>
  <c r="M22" i="2"/>
  <c r="F22" i="2"/>
  <c r="M21" i="2"/>
  <c r="N21" i="2" s="1"/>
  <c r="D21" i="2"/>
  <c r="D25" i="2" s="1"/>
  <c r="F20" i="2"/>
  <c r="F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L94" i="1"/>
  <c r="I92" i="1"/>
  <c r="D92" i="1"/>
  <c r="L92" i="1" s="1"/>
  <c r="C81" i="1"/>
  <c r="D66" i="1"/>
  <c r="C62" i="1"/>
  <c r="F50" i="1"/>
  <c r="H48" i="1"/>
  <c r="F48" i="1"/>
  <c r="H47" i="1"/>
  <c r="H46" i="1"/>
  <c r="F46" i="1"/>
  <c r="H45" i="1"/>
  <c r="C45" i="1"/>
  <c r="C51" i="1" s="1"/>
  <c r="D34" i="1"/>
  <c r="D36" i="1" s="1"/>
  <c r="D39" i="1" s="1"/>
  <c r="D41" i="1" s="1"/>
  <c r="C34" i="1"/>
  <c r="C36" i="1" s="1"/>
  <c r="F36" i="1" s="1"/>
  <c r="H31" i="1"/>
  <c r="F31" i="1"/>
  <c r="D30" i="1"/>
  <c r="D32" i="1" s="1"/>
  <c r="C30" i="1"/>
  <c r="H30" i="1" s="1"/>
  <c r="H29" i="1"/>
  <c r="H28" i="1"/>
  <c r="F28" i="1"/>
  <c r="H27" i="1"/>
  <c r="G27" i="1"/>
  <c r="F27" i="1"/>
  <c r="D23" i="1"/>
  <c r="D19" i="1"/>
  <c r="D21" i="1" s="1"/>
  <c r="C19" i="1"/>
  <c r="H19" i="1" s="1"/>
  <c r="D17" i="1"/>
  <c r="C17" i="1"/>
  <c r="F17" i="1" s="1"/>
  <c r="H14" i="1"/>
  <c r="H13" i="1"/>
  <c r="F13" i="1"/>
  <c r="K12" i="1"/>
  <c r="F12" i="1"/>
  <c r="D12" i="1"/>
  <c r="C12" i="1"/>
  <c r="H10" i="1"/>
  <c r="F10" i="1"/>
  <c r="P9" i="1"/>
  <c r="N9" i="1"/>
  <c r="H9" i="1"/>
  <c r="C64" i="1" s="1"/>
  <c r="F9" i="1"/>
  <c r="F8" i="1"/>
  <c r="N53" i="2" l="1"/>
  <c r="F55" i="2"/>
  <c r="F56" i="2" s="1"/>
  <c r="N52" i="2"/>
  <c r="H26" i="1"/>
  <c r="C61" i="1" s="1"/>
  <c r="C66" i="1" s="1"/>
  <c r="C75" i="1" s="1"/>
  <c r="C83" i="1" s="1"/>
  <c r="F28" i="4"/>
  <c r="E28" i="4" s="1"/>
  <c r="C13" i="3"/>
  <c r="F9" i="3"/>
  <c r="D13" i="3"/>
  <c r="E9" i="3" s="1"/>
  <c r="I40" i="2"/>
  <c r="M40" i="2" s="1"/>
  <c r="F41" i="2"/>
  <c r="I41" i="2" s="1"/>
  <c r="M41" i="2" s="1"/>
  <c r="D55" i="2"/>
  <c r="E20" i="1"/>
  <c r="E18" i="1"/>
  <c r="E10" i="1"/>
  <c r="E22" i="1"/>
  <c r="E23" i="1" s="1"/>
  <c r="E8" i="1"/>
  <c r="E17" i="1"/>
  <c r="E13" i="1"/>
  <c r="E12" i="1"/>
  <c r="E9" i="1"/>
  <c r="F51" i="1"/>
  <c r="D51" i="1"/>
  <c r="E34" i="1"/>
  <c r="E36" i="1" s="1"/>
  <c r="E39" i="1" s="1"/>
  <c r="E41" i="1" s="1"/>
  <c r="D53" i="1"/>
  <c r="E29" i="1"/>
  <c r="E27" i="1"/>
  <c r="E30" i="1"/>
  <c r="E26" i="1"/>
  <c r="E28" i="1"/>
  <c r="E31" i="1"/>
  <c r="C21" i="1"/>
  <c r="E19" i="1"/>
  <c r="F19" i="1"/>
  <c r="C32" i="1"/>
  <c r="H34" i="1"/>
  <c r="H55" i="1" l="1"/>
  <c r="H57" i="1" s="1"/>
  <c r="E11" i="3"/>
  <c r="E13" i="3" s="1"/>
  <c r="F13" i="3"/>
  <c r="D56" i="2"/>
  <c r="I56" i="2"/>
  <c r="M56" i="2" s="1"/>
  <c r="N56" i="2" s="1"/>
  <c r="I55" i="2"/>
  <c r="M55" i="2" s="1"/>
  <c r="N55" i="2" s="1"/>
  <c r="E32" i="1"/>
  <c r="E50" i="1"/>
  <c r="E49" i="1"/>
  <c r="E51" i="1"/>
  <c r="E46" i="1"/>
  <c r="E48" i="1"/>
  <c r="E45" i="1"/>
  <c r="F21" i="1"/>
  <c r="D55" i="1"/>
  <c r="E55" i="1" s="1"/>
  <c r="E53" i="1"/>
  <c r="E21" i="1"/>
  <c r="K11" i="1"/>
  <c r="C39" i="1"/>
  <c r="F32" i="1"/>
  <c r="J55" i="1" l="1"/>
  <c r="D70" i="2"/>
  <c r="C53" i="1"/>
  <c r="F39" i="1"/>
  <c r="C41" i="1"/>
  <c r="F41" i="1" s="1"/>
  <c r="D88" i="1"/>
  <c r="L11" i="1"/>
  <c r="E70" i="2" l="1"/>
  <c r="E50" i="2"/>
  <c r="E21" i="2"/>
  <c r="E52" i="2"/>
  <c r="E24" i="2"/>
  <c r="E22" i="2"/>
  <c r="E54" i="2"/>
  <c r="E23" i="2"/>
  <c r="E25" i="2"/>
  <c r="E53" i="2"/>
  <c r="E55" i="2"/>
  <c r="E56" i="2"/>
  <c r="I88" i="1"/>
  <c r="L88" i="1" s="1"/>
  <c r="F53" i="1"/>
  <c r="C55" i="1"/>
  <c r="F55" i="1" s="1"/>
  <c r="F10" i="2"/>
  <c r="M10" i="2"/>
  <c r="N10" i="2" s="1"/>
  <c r="F18" i="2"/>
  <c r="M18" i="2"/>
  <c r="N18" i="2" s="1"/>
  <c r="F6" i="2"/>
  <c r="M6" i="2"/>
  <c r="N6" i="2" s="1"/>
  <c r="F8" i="2"/>
  <c r="M8" i="2"/>
  <c r="N8" i="2" s="1"/>
  <c r="F12" i="2"/>
  <c r="M12" i="2"/>
  <c r="N12" i="2" s="1"/>
  <c r="F14" i="2"/>
  <c r="M14" i="2"/>
  <c r="N14" i="2" s="1"/>
  <c r="F16" i="2"/>
  <c r="M16" i="2"/>
  <c r="N16" i="2" s="1"/>
  <c r="M7" i="2"/>
  <c r="N7" i="2" s="1"/>
  <c r="F7" i="2"/>
  <c r="M9" i="2"/>
  <c r="N9" i="2" s="1"/>
  <c r="F9" i="2"/>
  <c r="M11" i="2"/>
  <c r="N11" i="2" s="1"/>
  <c r="F11" i="2"/>
  <c r="M13" i="2"/>
  <c r="N13" i="2" s="1"/>
  <c r="F13" i="2"/>
  <c r="M15" i="2"/>
  <c r="N15" i="2" s="1"/>
  <c r="F15" i="2"/>
  <c r="M17" i="2"/>
  <c r="N17" i="2" s="1"/>
  <c r="F17" i="2"/>
  <c r="F21" i="2" l="1"/>
  <c r="F25" i="2" s="1"/>
  <c r="F70" i="2" s="1"/>
  <c r="I25" i="2" l="1"/>
  <c r="M25" i="2" s="1"/>
  <c r="N25" i="2" s="1"/>
  <c r="N70" i="2" s="1"/>
  <c r="M70" i="2" s="1"/>
  <c r="I70" i="2"/>
  <c r="F72" i="2"/>
  <c r="K70" i="2" l="1"/>
  <c r="K72" i="2"/>
  <c r="N72" i="2" s="1"/>
  <c r="I7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 Bolta</author>
  </authors>
  <commentList>
    <comment ref="B10" authorId="0" shapeId="0" xr:uid="{3501B895-0C2C-491A-86BB-72A1E8827B94}">
      <text>
        <r>
          <rPr>
            <b/>
            <sz val="9"/>
            <color indexed="81"/>
            <rFont val="Tahoma"/>
            <family val="2"/>
          </rPr>
          <t>Xavi Bolta:</t>
        </r>
        <r>
          <rPr>
            <sz val="9"/>
            <color indexed="81"/>
            <rFont val="Tahoma"/>
            <family val="2"/>
          </rPr>
          <t xml:space="preserve">
BANCO ALIMENTOS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Costos</author>
  </authors>
  <commentList>
    <comment ref="L10" authorId="0" shapeId="0" xr:uid="{CA7CF892-AFD5-4182-9433-B3EF82BA95DF}">
      <text>
        <r>
          <rPr>
            <b/>
            <sz val="9"/>
            <color indexed="81"/>
            <rFont val="Tahoma"/>
            <family val="2"/>
          </rPr>
          <t xml:space="preserve">Costos:VENTA ALMACEN CAT 1
</t>
        </r>
      </text>
    </comment>
  </commentList>
</comments>
</file>

<file path=xl/sharedStrings.xml><?xml version="1.0" encoding="utf-8"?>
<sst xmlns="http://schemas.openxmlformats.org/spreadsheetml/2006/main" count="521" uniqueCount="316">
  <si>
    <t>RESUMEN LIQUIDACIÓN NADORCOTT</t>
  </si>
  <si>
    <t>LORA DEL RIO</t>
  </si>
  <si>
    <t>- CAMPAÑA: 2024/2025</t>
  </si>
  <si>
    <t>LORA</t>
  </si>
  <si>
    <t>DEL RIO</t>
  </si>
  <si>
    <t>I N G R E S O S</t>
  </si>
  <si>
    <t>T  O T  A  L  E  S</t>
  </si>
  <si>
    <t>COMPENSACIONES</t>
  </si>
  <si>
    <t>IMPORTE</t>
  </si>
  <si>
    <t>KGRS.</t>
  </si>
  <si>
    <t>%</t>
  </si>
  <si>
    <t>€ X KG</t>
  </si>
  <si>
    <t xml:space="preserve"> </t>
  </si>
  <si>
    <t>Kgs</t>
  </si>
  <si>
    <t>€</t>
  </si>
  <si>
    <t>VENTA ANECOOP</t>
  </si>
  <si>
    <t>Vtas Aneccop cobradas PLT</t>
  </si>
  <si>
    <t>Datos Anecoop</t>
  </si>
  <si>
    <t>Diferencia</t>
  </si>
  <si>
    <t>Datos Coop</t>
  </si>
  <si>
    <t>VENTA ALMACEN CAT I</t>
  </si>
  <si>
    <t>Ventas Almacén CAT I</t>
  </si>
  <si>
    <t>Vtas Anecoop FACT COOP</t>
  </si>
  <si>
    <t>Ventas pagadas a coop</t>
  </si>
  <si>
    <t>No facilitados</t>
  </si>
  <si>
    <t>VTAS ANECOOP PDTE FACTURAR</t>
  </si>
  <si>
    <t>- SUBTOTALES ….. CAT I</t>
  </si>
  <si>
    <t>CLAS</t>
  </si>
  <si>
    <t>VENTA ALMACEN CAT II</t>
  </si>
  <si>
    <t>Ventas Almacén CAT II</t>
  </si>
  <si>
    <t>- SUBTOTALES ….. CAT II</t>
  </si>
  <si>
    <t>- MERMAS</t>
  </si>
  <si>
    <t>- INDUSTRIA</t>
  </si>
  <si>
    <t>Ventas industria</t>
  </si>
  <si>
    <t>- PODRIDO</t>
  </si>
  <si>
    <t xml:space="preserve"> TOTALES …………..</t>
  </si>
  <si>
    <t>G A S T O S</t>
  </si>
  <si>
    <t>NADORCOTT</t>
  </si>
  <si>
    <t>Gasto confección</t>
  </si>
  <si>
    <t>NADORCOTT HOJA</t>
  </si>
  <si>
    <t>NADORCOTT CAT II</t>
  </si>
  <si>
    <t>Gasto confección Cat II</t>
  </si>
  <si>
    <t>Gatos Industria</t>
  </si>
  <si>
    <t>- SUBTOTALES …..</t>
  </si>
  <si>
    <t>- GASTOS GENERALES</t>
  </si>
  <si>
    <t>Gastos Generales</t>
  </si>
  <si>
    <t>- TOTALES ………</t>
  </si>
  <si>
    <t>- REMANENTE PARCIAL …….</t>
  </si>
  <si>
    <t>G A S T O S OPERATIVOS</t>
  </si>
  <si>
    <t>COMUNES PLATAFORMAS</t>
  </si>
  <si>
    <t>- CANON ETIQUETAJE  …</t>
  </si>
  <si>
    <t>Canon etiquetaje</t>
  </si>
  <si>
    <t>Gastos conservación</t>
  </si>
  <si>
    <t>Gastos Extra Fruta Conservación</t>
  </si>
  <si>
    <t>Gastos adicionales</t>
  </si>
  <si>
    <t>- TRANSP. PAGADO PLATAFORMA</t>
  </si>
  <si>
    <t>Transporte pagado por plataforma (INCL. PROPIO)</t>
  </si>
  <si>
    <t>- TRANSP.PROVEEDORES</t>
  </si>
  <si>
    <t xml:space="preserve">Transporte  provisión proveedores </t>
  </si>
  <si>
    <t>- TRANSP.PAGADO ANECOOP</t>
  </si>
  <si>
    <t xml:space="preserve">Transporte pagado por Anecoop </t>
  </si>
  <si>
    <t>- REMANENTE …….</t>
  </si>
  <si>
    <t>Balance gastos e ingresos</t>
  </si>
  <si>
    <t>Anticipo Confección</t>
  </si>
  <si>
    <t>Saldo resultante</t>
  </si>
  <si>
    <t>Pdte Pago</t>
  </si>
  <si>
    <t>Abonado Anecoop</t>
  </si>
  <si>
    <t>Gastos Plataforma</t>
  </si>
  <si>
    <t>* Pagado por plataforma</t>
  </si>
  <si>
    <t>Deducción Transporte/Porvisionado</t>
  </si>
  <si>
    <t>* Provisionado para pagar a proveedores</t>
  </si>
  <si>
    <t>Deducción Transporte/pagado</t>
  </si>
  <si>
    <t>Ingresos en Plataforma</t>
  </si>
  <si>
    <t>Anticipo Confección pagado</t>
  </si>
  <si>
    <t>* Abonado por Anecoop</t>
  </si>
  <si>
    <t>Pendiente Pago</t>
  </si>
  <si>
    <t xml:space="preserve">Gastos Confección Mercancía </t>
  </si>
  <si>
    <t>* A concretar modo de facturación y pago, mas valor mercancia o servicios.</t>
  </si>
  <si>
    <t xml:space="preserve">Valor Mercancía </t>
  </si>
  <si>
    <t>Factura y Autofactura</t>
  </si>
  <si>
    <t>KGS Propios</t>
  </si>
  <si>
    <t>Anticipo mercancía</t>
  </si>
  <si>
    <t>01432425NAD001</t>
  </si>
  <si>
    <t>Valoración Transporte</t>
  </si>
  <si>
    <t xml:space="preserve">Pagado </t>
  </si>
  <si>
    <t xml:space="preserve">Total MERCANCÍA PDTE PAGO </t>
  </si>
  <si>
    <t>Total Pendiente</t>
  </si>
  <si>
    <t>&gt; 78 mm</t>
  </si>
  <si>
    <t>XXX - XX</t>
  </si>
  <si>
    <t>X - 1</t>
  </si>
  <si>
    <t>2/3</t>
  </si>
  <si>
    <t>4</t>
  </si>
  <si>
    <t>5</t>
  </si>
  <si>
    <t>&lt; 46 mm</t>
  </si>
  <si>
    <t>DESTRIO</t>
  </si>
  <si>
    <t>COMERCIALIZACIÓN PLATAFORMA</t>
  </si>
  <si>
    <t>CLASIFICACIONES PLATAFORMA</t>
  </si>
  <si>
    <t>COMERCIAL</t>
  </si>
  <si>
    <t>NO COMERCIAL</t>
  </si>
  <si>
    <t>CLASIFICACIONES MEDIA TODAS LAS PLATAFORMAS</t>
  </si>
  <si>
    <t>€/KG</t>
  </si>
  <si>
    <t>Previsión</t>
  </si>
  <si>
    <t xml:space="preserve">      CONFECCIONES</t>
  </si>
  <si>
    <t>KILOS</t>
  </si>
  <si>
    <t>GASTOS CONF</t>
  </si>
  <si>
    <t>CAMPO</t>
  </si>
  <si>
    <t>ALMACEN</t>
  </si>
  <si>
    <t>23-24</t>
  </si>
  <si>
    <t>GENERALES</t>
  </si>
  <si>
    <t>FORFAIT</t>
  </si>
  <si>
    <t xml:space="preserve">€/kg confección </t>
  </si>
  <si>
    <t>ALVEOLOS</t>
  </si>
  <si>
    <t>5,5-6</t>
  </si>
  <si>
    <t>CESTAS</t>
  </si>
  <si>
    <t>ENCAJADO</t>
  </si>
  <si>
    <t xml:space="preserve">GRANEL </t>
  </si>
  <si>
    <t>MALLAS</t>
  </si>
  <si>
    <t xml:space="preserve">MALLAS </t>
  </si>
  <si>
    <t>MALLA</t>
  </si>
  <si>
    <t>- SUBTOTAL …. CAT I</t>
  </si>
  <si>
    <t>Industria</t>
  </si>
  <si>
    <t>- SUBTOTAL …. CAT II</t>
  </si>
  <si>
    <t xml:space="preserve">       T O T A L E S  ....</t>
  </si>
  <si>
    <t>PRODUCTO</t>
  </si>
  <si>
    <t>( HOJA )</t>
  </si>
  <si>
    <t>FORFAITS</t>
  </si>
  <si>
    <t>- SUBTOTAL …. HOJA</t>
  </si>
  <si>
    <t xml:space="preserve">INDUSTRIA </t>
  </si>
  <si>
    <t>PODRIDO</t>
  </si>
  <si>
    <t>MERMAS</t>
  </si>
  <si>
    <t>- SUBTOTAL …. NO COMERCIAL</t>
  </si>
  <si>
    <t>OTROS GASTOS</t>
  </si>
  <si>
    <t>ALQUILER ENVASES</t>
  </si>
  <si>
    <t>TRANSPORTE ENVASES</t>
  </si>
  <si>
    <t>- SUBTOTAL ….</t>
  </si>
  <si>
    <t xml:space="preserve">- T O T A L E S </t>
  </si>
  <si>
    <t>Cliente</t>
  </si>
  <si>
    <t xml:space="preserve">kg </t>
  </si>
  <si>
    <t xml:space="preserve">€/kg </t>
  </si>
  <si>
    <t xml:space="preserve">Coste </t>
  </si>
  <si>
    <t xml:space="preserve">Recolección </t>
  </si>
  <si>
    <t xml:space="preserve">€/kg  </t>
  </si>
  <si>
    <t xml:space="preserve">Pedro Milla </t>
  </si>
  <si>
    <t xml:space="preserve">Motilla </t>
  </si>
  <si>
    <t xml:space="preserve">Madre mia </t>
  </si>
  <si>
    <t>VENTAS ANECOOP</t>
  </si>
  <si>
    <t>VENTAS ALMACÉN CAT I</t>
  </si>
  <si>
    <t xml:space="preserve">Marín Fontestad </t>
  </si>
  <si>
    <t xml:space="preserve">Explotaciones santa lucia </t>
  </si>
  <si>
    <t>TOTAL</t>
  </si>
  <si>
    <t>ENTRADAS</t>
  </si>
  <si>
    <t>ENTRADAS TOTALES Y PAGADOR</t>
  </si>
  <si>
    <t>TRANSPORTES</t>
  </si>
  <si>
    <t>PLATAFORMA</t>
  </si>
  <si>
    <t>PROVEEDOR</t>
  </si>
  <si>
    <t>KGS</t>
  </si>
  <si>
    <t>€/Kg</t>
  </si>
  <si>
    <t>€ PAGADOS</t>
  </si>
  <si>
    <t>ANECOOP</t>
  </si>
  <si>
    <t>KGS Totales</t>
  </si>
  <si>
    <t>DIFERENCIA</t>
  </si>
  <si>
    <t>LORA RIO</t>
  </si>
  <si>
    <t>ALCALA RIO</t>
  </si>
  <si>
    <t>Base imponible</t>
  </si>
  <si>
    <t>Total Factura</t>
  </si>
  <si>
    <t>Factura</t>
  </si>
  <si>
    <t>df</t>
  </si>
  <si>
    <t>asiento</t>
  </si>
  <si>
    <t>PAGADO</t>
  </si>
  <si>
    <t>FAC-01F01-07FV00888</t>
  </si>
  <si>
    <t>FAS24M15000013</t>
  </si>
  <si>
    <t>PAGADO A ALCALÁ DEL RIO</t>
  </si>
  <si>
    <t>PENDIENTE</t>
  </si>
  <si>
    <t>PENDIENTE DECIDIR FORMA DE PAGO</t>
  </si>
  <si>
    <t>CONFECCIÓN</t>
  </si>
  <si>
    <t xml:space="preserve">asiento </t>
  </si>
  <si>
    <t>PRESTACIÓN DE SERVICIOS</t>
  </si>
  <si>
    <t>COMO MERCANCÍA</t>
  </si>
  <si>
    <t>TANGO</t>
  </si>
  <si>
    <t>Pagado</t>
  </si>
  <si>
    <t>ALCALÁ RIO</t>
  </si>
  <si>
    <t>Pedro Milla (Tango )</t>
  </si>
  <si>
    <t xml:space="preserve">Ruben espinosa </t>
  </si>
  <si>
    <t>SeasonCROPS</t>
  </si>
  <si>
    <t>VENTAS EN  CAMPO (NADORCOTT)</t>
  </si>
  <si>
    <t>Confección</t>
  </si>
  <si>
    <t>ANECOOP PREV</t>
  </si>
  <si>
    <t>ALVEOLO CARTON 5 KG</t>
  </si>
  <si>
    <t>ALVEOLO CARTON 6 KG</t>
  </si>
  <si>
    <t>ALVEOLO IFCO 6 KG</t>
  </si>
  <si>
    <t>ALVEOLO EPS 106 6 KG</t>
  </si>
  <si>
    <t>ALVEOLO EPS 156 12 KG</t>
  </si>
  <si>
    <t>CLIP 2 CLIP 10X2</t>
  </si>
  <si>
    <t>CLIP 2 CLIP 12X1,5</t>
  </si>
  <si>
    <t>CLIP 2 CLIP 13X1,5</t>
  </si>
  <si>
    <t>CLIP 2 CLIP 20X1</t>
  </si>
  <si>
    <t>CESTA MALLA 10 X 1 K CARTON</t>
  </si>
  <si>
    <t>CESTA MALLA 10 X 1 K SVENSKA</t>
  </si>
  <si>
    <t>CESTA MALLA 10 X 750 K</t>
  </si>
  <si>
    <t>CESTA MALLA 10 X 900 EPS</t>
  </si>
  <si>
    <t>ENCAJADO CARTON 7,5 KG</t>
  </si>
  <si>
    <t>ENCAJADO MADERA  9 KG</t>
  </si>
  <si>
    <t>ENCAJADO MADERA  9,5 KG</t>
  </si>
  <si>
    <t>ENCAJADO EUROPOOL 12K</t>
  </si>
  <si>
    <t>ENCAJADO  CARTÓN 7 KG</t>
  </si>
  <si>
    <t>ENCAJADO CARTON 10 KG</t>
  </si>
  <si>
    <t>ENCAJADO CARTON 10,5  KG</t>
  </si>
  <si>
    <t>ENCAJADO CARTON 11 KG</t>
  </si>
  <si>
    <t>ENCAJADO CARTON 12 KG</t>
  </si>
  <si>
    <t>ENCAJADO  MADERA 5 KG</t>
  </si>
  <si>
    <t>ENCAJADO  MADERA 7,5 KG</t>
  </si>
  <si>
    <t>ENCAJADO MADERA 10 KG</t>
  </si>
  <si>
    <t>ENCAJADO MADERA 10,5 KG</t>
  </si>
  <si>
    <t>ENCAJADO MADERA 11 KG</t>
  </si>
  <si>
    <t>ENCAJADO  6 KG</t>
  </si>
  <si>
    <t>ENCAJADO ALVEOLO 6,5 KG</t>
  </si>
  <si>
    <t>ENCAJADO ALVEOLO 12 KG</t>
  </si>
  <si>
    <t>ENCAJADO CARTON 5 KG</t>
  </si>
  <si>
    <t>ENCAJADO PITUFO 5,5 KG</t>
  </si>
  <si>
    <t>GIRSAC 8x2 K</t>
  </si>
  <si>
    <t>GIRSAC 8x1,5 K</t>
  </si>
  <si>
    <t>GIRSAC 7x2 K</t>
  </si>
  <si>
    <t>GIRSAC 7x1,5 K</t>
  </si>
  <si>
    <t>GIRSAC 6X2</t>
  </si>
  <si>
    <t>GIRSAC 20X1</t>
  </si>
  <si>
    <t>GIRSAC 20X0,5</t>
  </si>
  <si>
    <t>GIRSAC 18X0,65</t>
  </si>
  <si>
    <t>GIRSAC 16X1</t>
  </si>
  <si>
    <t>GIRSAC 16X1 IFCO</t>
  </si>
  <si>
    <t>GIRSAC 15X1</t>
  </si>
  <si>
    <t>GIRSAC 14X750</t>
  </si>
  <si>
    <t>GIRSAC 14X1,5</t>
  </si>
  <si>
    <t>GIRSAC 14X1</t>
  </si>
  <si>
    <t>GIRSAC 14X1 SVENSKA</t>
  </si>
  <si>
    <t>GIRSAC 12X1,5</t>
  </si>
  <si>
    <t>GIRSAC 12X1</t>
  </si>
  <si>
    <t>GIRSAC 12X0,75</t>
  </si>
  <si>
    <t>GIRSAC 10X2</t>
  </si>
  <si>
    <t>GIRSAC 10X1,5</t>
  </si>
  <si>
    <t>GIRSAC 10X1</t>
  </si>
  <si>
    <t>GIRSAC 10X1 IFCO</t>
  </si>
  <si>
    <t>GIRSAC 10X1 EPS</t>
  </si>
  <si>
    <t>GIRSAC 10X0,75 K</t>
  </si>
  <si>
    <t>GS 10 X 1 IFCO</t>
  </si>
  <si>
    <t>GS 10 X 2 IFCO</t>
  </si>
  <si>
    <t>GS 12 X 1 IFCO</t>
  </si>
  <si>
    <t>GS 12 X 1 SVENSKA</t>
  </si>
  <si>
    <t>GS 12 X 1,5 IFCO</t>
  </si>
  <si>
    <t>GS 16 X 1 IFCO</t>
  </si>
  <si>
    <t>GS 16 X 750 EPS</t>
  </si>
  <si>
    <t>GS 8 X 1,5 IFCO</t>
  </si>
  <si>
    <t>GS 8X1 IFCO</t>
  </si>
  <si>
    <t>GRANEL 12 K</t>
  </si>
  <si>
    <t>GRANEL 20 K</t>
  </si>
  <si>
    <t>GRANEL CARTON 10 KG</t>
  </si>
  <si>
    <t>GRANEL CARTON 15 KG</t>
  </si>
  <si>
    <t>GRANEL CARTON 5 KG</t>
  </si>
  <si>
    <t>GRANEL CARTON 6 KG</t>
  </si>
  <si>
    <t>GRANEL IFCO 6 KG</t>
  </si>
  <si>
    <t>GRANEL IFCO  10 KG</t>
  </si>
  <si>
    <t>GRANEL IFCO BLL 10 KG</t>
  </si>
  <si>
    <t>GRANEL IFCO BLL 11 KG</t>
  </si>
  <si>
    <t>GRANEL IFCO/EPS 12 KG</t>
  </si>
  <si>
    <t>GRANEL IFCO 15 KG</t>
  </si>
  <si>
    <t>GRANEL MADERA 6 KG</t>
  </si>
  <si>
    <t>GRANEL MADERA 9 KG</t>
  </si>
  <si>
    <t>GRANEL MADERA 10 KG</t>
  </si>
  <si>
    <t>GRANEL MADERA 10,5 KG</t>
  </si>
  <si>
    <t>GRANEL MADERA 14 KG</t>
  </si>
  <si>
    <t>GRANEL MADERA 7 KG</t>
  </si>
  <si>
    <t>GRANEL EPS 15 KG</t>
  </si>
  <si>
    <t>GRANEL EPS 10 KG</t>
  </si>
  <si>
    <t>GRANEL EPS 12 KG</t>
  </si>
  <si>
    <t>GRANEL SVENSKA 12 KG</t>
  </si>
  <si>
    <t>GRANEL SVENSKA 14 KG</t>
  </si>
  <si>
    <t>MALLA 8x2KG</t>
  </si>
  <si>
    <t>MALLAS 10 x 2KG</t>
  </si>
  <si>
    <t>MALLA 10 X 1 EPS</t>
  </si>
  <si>
    <t>MALLA 10 X 2 EPS</t>
  </si>
  <si>
    <t>MALLA 10 X 1 IFCO</t>
  </si>
  <si>
    <t>MALLA 14 X 0,75 IFCO</t>
  </si>
  <si>
    <t>MALLA 15 X 1 IFCO</t>
  </si>
  <si>
    <t>*</t>
  </si>
  <si>
    <t>MALLA 18 X 1 IFCO</t>
  </si>
  <si>
    <t>MALLA 20 X 1 IFCO</t>
  </si>
  <si>
    <t>MALLA 20 X 750</t>
  </si>
  <si>
    <t>MALLA 20 X 10 pzas</t>
  </si>
  <si>
    <t>MALLA 10X1 KG</t>
  </si>
  <si>
    <t>MALLA 14 X 1 KG</t>
  </si>
  <si>
    <t>MALLA 15 X 1 KG</t>
  </si>
  <si>
    <t>MALLA 16 X 1 KG</t>
  </si>
  <si>
    <t>MALLA 20X1</t>
  </si>
  <si>
    <t>MALLAS 10X1 IFCO</t>
  </si>
  <si>
    <t>MALLA 12  X  1,00 KG.</t>
  </si>
  <si>
    <t>MALLAS 8X2 IFCO</t>
  </si>
  <si>
    <t>SACO YUTE 6X1,5Kg</t>
  </si>
  <si>
    <t>SACO YUTE 8X1,5Kg</t>
  </si>
  <si>
    <t>SACOS 10X1.5KG</t>
  </si>
  <si>
    <t>SACOS 11X1.5KG</t>
  </si>
  <si>
    <t>ULTRAPACK 14X0,75</t>
  </si>
  <si>
    <t>PITUFO CARTON 2 KG</t>
  </si>
  <si>
    <t>PITUFO MADERA 2 KG</t>
  </si>
  <si>
    <t>PITUFO CARTON 2,3 KG</t>
  </si>
  <si>
    <t>PITUFO MADERA 2,3 KG</t>
  </si>
  <si>
    <t>MEDIA</t>
  </si>
  <si>
    <t>POR ACUERDO DE HOMOGENEIDAD</t>
  </si>
  <si>
    <t>Confección HOJA</t>
  </si>
  <si>
    <t>ALVEOLO CARTON 5,5 KG</t>
  </si>
  <si>
    <t>ENCAJADO  MADERA 6,5 KG</t>
  </si>
  <si>
    <t>FLOW PACK 9 KG</t>
  </si>
  <si>
    <t>FLOW PACK 7,5 KG</t>
  </si>
  <si>
    <t>GRANEL IFCO 12 KG</t>
  </si>
  <si>
    <t>GRANEL MADERA 6,5 KG</t>
  </si>
  <si>
    <t>GRANEL MADERA 7,5 KG</t>
  </si>
  <si>
    <t>GRANEL CARTON 12 KG</t>
  </si>
  <si>
    <t>Malla 16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</si>
</sst>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.0000\ &quot;€&quot;"/>
    <numFmt numFmtId="166" formatCode="_-* #,##0.00\ [$€-C0A]_-;\-* #,##0.00\ [$€-C0A]_-;_-* &quot;-&quot;??\ [$€-C0A]_-;_-@_-"/>
    <numFmt numFmtId="167" formatCode="_-* #,##0\ _€_-;\-* #,##0\ _€_-;_-* &quot;-&quot;??\ _€_-;_-@_-"/>
    <numFmt numFmtId="168" formatCode="_-* #,##0.0000\ [$€-C0A]_-;\-* #,##0.0000\ [$€-C0A]_-;_-* &quot;-&quot;??\ [$€-C0A]_-;_-@_-"/>
    <numFmt numFmtId="169" formatCode="_-* #,##0.0000\ &quot;€&quot;_-;\-* #,##0.0000\ &quot;€&quot;_-;_-* &quot;-&quot;??\ &quot;€&quot;_-;_-@_-"/>
    <numFmt numFmtId="170" formatCode="_-* #,##0.00\ _€_-;\-* #,##0.00\ _€_-;_-* &quot;-&quot;??\ _€_-;_-@_-"/>
    <numFmt numFmtId="171" formatCode="#,##0_ ;[Red]\-#,##0\ "/>
    <numFmt numFmtId="172" formatCode="#,##0.000\ &quot;€&quot;"/>
    <numFmt numFmtId="173" formatCode="_-* #,##0.00\ &quot;€&quot;_-;\-* #,##0.00\ &quot;€&quot;_-;_-* &quot;-&quot;????\ &quot;€&quot;_-;_-@_-"/>
    <numFmt numFmtId="174" formatCode="_-* #,##0\ &quot;€&quot;_-;\-* #,##0\ &quot;€&quot;_-;_-* &quot;-&quot;????\ &quot;€&quot;_-;_-@_-"/>
    <numFmt numFmtId="175" formatCode="#,##0.000\ [$€-C0A];\-#,##0.000\ [$€-C0A]"/>
    <numFmt numFmtId="176" formatCode="_-* #,##0.0000\ [$€-C0A]_-;\-* #,##0.0000\ [$€-C0A]_-;_-* &quot;-&quot;????\ [$€-C0A]_-;_-@_-"/>
    <numFmt numFmtId="177" formatCode="#,##0_ ;\-#,##0\ "/>
    <numFmt numFmtId="178" formatCode="#,##0.0000\ _€"/>
    <numFmt numFmtId="179" formatCode="#,##0.0000\ &quot;€&quot;;[Red]\-#,##0.0000\ &quot;€&quot;"/>
    <numFmt numFmtId="180" formatCode="#,##0.0000"/>
    <numFmt numFmtId="181" formatCode="_-* #,##0.0000\ &quot;€&quot;_-;\-* #,##0.0000\ &quot;€&quot;_-;_-* &quot;-&quot;?????\ &quot;€&quot;_-;_-@_-"/>
    <numFmt numFmtId="182" formatCode="_-* #,##0.00000\ &quot;€&quot;_-;\-* #,##0.00000\ &quot;€&quot;_-;_-* &quot;-&quot;?????\ &quot;€&quot;_-;_-@_-"/>
    <numFmt numFmtId="183" formatCode="_-* #,##0.000\ &quot;€&quot;_-;\-* #,##0.000\ &quot;€&quot;_-;_-* &quot;-&quot;??\ &quot;€&quot;_-;_-@_-"/>
    <numFmt numFmtId="184" formatCode="_-* #,##0.0000\ &quot;€&quot;_-;\-* #,##0.0000\ &quot;€&quot;_-;_-* &quot;-&quot;????\ &quot;€&quot;_-;_-@_-"/>
    <numFmt numFmtId="185" formatCode="_-* #,##0_-;\-* #,##0_-;_-* &quot;-&quot;??_-;_-@_-"/>
    <numFmt numFmtId="186" formatCode="0.000"/>
    <numFmt numFmtId="187" formatCode="#,##0.00_ ;[Red]\-#,##0.00\ "/>
  </numFmts>
  <fonts count="7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3F3F76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i/>
      <sz val="10"/>
      <name val="Calibri"/>
      <family val="2"/>
    </font>
    <font>
      <sz val="9"/>
      <color rgb="FF000000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2"/>
      <color rgb="FF993300"/>
      <name val="Calibri"/>
      <family val="2"/>
    </font>
    <font>
      <b/>
      <sz val="12"/>
      <color rgb="FFE6B8B7"/>
      <name val="Calibri"/>
      <family val="2"/>
    </font>
    <font>
      <i/>
      <sz val="11"/>
      <name val="Calibri"/>
      <family val="2"/>
    </font>
    <font>
      <b/>
      <sz val="12"/>
      <color rgb="FF003366"/>
      <name val="Calibri"/>
      <family val="2"/>
    </font>
    <font>
      <b/>
      <sz val="12"/>
      <color indexed="8"/>
      <name val="Calibri"/>
      <family val="2"/>
    </font>
    <font>
      <i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FFFFFF"/>
      <name val="Calibri"/>
      <family val="2"/>
    </font>
    <font>
      <i/>
      <sz val="12"/>
      <name val="Calibri"/>
      <family val="2"/>
    </font>
    <font>
      <b/>
      <sz val="10"/>
      <name val="Calibri"/>
      <family val="2"/>
    </font>
    <font>
      <b/>
      <sz val="12"/>
      <color rgb="FFFF0000"/>
      <name val="Calibri"/>
      <family val="2"/>
    </font>
    <font>
      <b/>
      <sz val="12"/>
      <color rgb="FF494529"/>
      <name val="Calibri"/>
      <family val="2"/>
    </font>
    <font>
      <b/>
      <sz val="12"/>
      <color rgb="FFC4BD97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9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2"/>
      <color indexed="60"/>
      <name val="Calibri"/>
      <family val="2"/>
    </font>
    <font>
      <b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3F3F76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</font>
    <font>
      <sz val="11"/>
      <color theme="1"/>
      <name val="Aptos Narrow"/>
      <family val="2"/>
    </font>
    <font>
      <b/>
      <sz val="11"/>
      <color rgb="FFFF0000"/>
      <name val="Calibri"/>
      <family val="2"/>
    </font>
    <font>
      <b/>
      <i/>
      <sz val="9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11"/>
      <name val="Aptos Narrow"/>
      <family val="2"/>
    </font>
    <font>
      <b/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color indexed="8"/>
      <name val="Arial"/>
      <family val="2"/>
    </font>
    <font>
      <sz val="10"/>
      <name val="Aptos Narrow"/>
      <family val="2"/>
    </font>
    <font>
      <sz val="10"/>
      <color rgb="FF000000"/>
      <name val="Aptos Narrow"/>
      <family val="2"/>
    </font>
    <font>
      <i/>
      <sz val="10"/>
      <name val="Aptos Narrow"/>
      <family val="2"/>
    </font>
    <font>
      <b/>
      <sz val="10"/>
      <name val="Aptos Narrow"/>
      <family val="2"/>
    </font>
    <font>
      <b/>
      <i/>
      <sz val="10"/>
      <name val="Aptos Narrow"/>
      <family val="2"/>
    </font>
    <font>
      <i/>
      <sz val="10"/>
      <color rgb="FF000000"/>
      <name val="Aptos Narrow"/>
      <family val="2"/>
    </font>
    <font>
      <sz val="10"/>
      <color rgb="FFFF0000"/>
      <name val="Aptos Narrow"/>
      <family val="2"/>
    </font>
    <font>
      <b/>
      <sz val="9"/>
      <name val="Calibri Light"/>
      <family val="2"/>
    </font>
    <font>
      <b/>
      <sz val="11"/>
      <color theme="1"/>
      <name val="Calibri Light"/>
      <family val="2"/>
    </font>
    <font>
      <b/>
      <i/>
      <sz val="11"/>
      <color theme="4" tint="-0.249977111117893"/>
      <name val="Calibri Light"/>
      <family val="2"/>
    </font>
    <font>
      <sz val="9"/>
      <name val="Calibri Light"/>
      <family val="2"/>
    </font>
    <font>
      <b/>
      <sz val="10"/>
      <color theme="1"/>
      <name val="Calibri Light"/>
      <family val="2"/>
    </font>
    <font>
      <b/>
      <i/>
      <sz val="10"/>
      <color theme="4" tint="-0.249977111117893"/>
      <name val="Calibri Light"/>
      <family val="2"/>
    </font>
    <font>
      <i/>
      <sz val="11"/>
      <color theme="4" tint="-0.249977111117893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indexed="1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</fills>
  <borders count="8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8"/>
      </top>
      <bottom/>
      <diagonal/>
    </border>
    <border>
      <left/>
      <right style="medium">
        <color indexed="64"/>
      </right>
      <top style="thin">
        <color theme="8"/>
      </top>
      <bottom/>
      <diagonal/>
    </border>
    <border>
      <left style="medium">
        <color indexed="64"/>
      </left>
      <right/>
      <top style="thin">
        <color theme="8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 style="medium">
        <color indexed="64"/>
      </left>
      <right/>
      <top style="thin">
        <color theme="8"/>
      </top>
      <bottom style="medium">
        <color indexed="64"/>
      </bottom>
      <diagonal/>
    </border>
    <border>
      <left/>
      <right/>
      <top style="thin">
        <color theme="8"/>
      </top>
      <bottom style="medium">
        <color indexed="64"/>
      </bottom>
      <diagonal/>
    </border>
    <border>
      <left/>
      <right style="medium">
        <color indexed="64"/>
      </right>
      <top style="thin">
        <color theme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5" fillId="0" borderId="0"/>
    <xf numFmtId="17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2" fillId="0" borderId="0">
      <alignment vertical="top"/>
    </xf>
  </cellStyleXfs>
  <cellXfs count="667">
    <xf numFmtId="0" fontId="0" fillId="0" borderId="0" xfId="0"/>
    <xf numFmtId="0" fontId="6" fillId="0" borderId="0" xfId="6" applyFont="1"/>
    <xf numFmtId="3" fontId="7" fillId="0" borderId="0" xfId="6" applyNumberFormat="1" applyFont="1" applyAlignment="1">
      <alignment horizontal="center"/>
    </xf>
    <xf numFmtId="3" fontId="8" fillId="0" borderId="0" xfId="6" applyNumberFormat="1" applyFont="1" applyAlignment="1">
      <alignment horizontal="left"/>
    </xf>
    <xf numFmtId="4" fontId="9" fillId="0" borderId="0" xfId="6" applyNumberFormat="1" applyFont="1"/>
    <xf numFmtId="0" fontId="9" fillId="0" borderId="0" xfId="6" applyFont="1"/>
    <xf numFmtId="0" fontId="6" fillId="0" borderId="0" xfId="0" applyFont="1"/>
    <xf numFmtId="0" fontId="10" fillId="0" borderId="0" xfId="0" applyFont="1"/>
    <xf numFmtId="0" fontId="11" fillId="0" borderId="0" xfId="6" applyFont="1"/>
    <xf numFmtId="0" fontId="11" fillId="0" borderId="0" xfId="0" applyFont="1"/>
    <xf numFmtId="0" fontId="11" fillId="0" borderId="0" xfId="6" quotePrefix="1" applyFont="1"/>
    <xf numFmtId="4" fontId="9" fillId="4" borderId="2" xfId="6" applyNumberFormat="1" applyFont="1" applyFill="1" applyBorder="1" applyAlignment="1">
      <alignment horizontal="center"/>
    </xf>
    <xf numFmtId="0" fontId="12" fillId="0" borderId="0" xfId="0" applyFont="1"/>
    <xf numFmtId="164" fontId="12" fillId="0" borderId="0" xfId="0" applyNumberFormat="1" applyFont="1"/>
    <xf numFmtId="3" fontId="12" fillId="0" borderId="0" xfId="0" applyNumberFormat="1" applyFont="1"/>
    <xf numFmtId="165" fontId="12" fillId="0" borderId="0" xfId="0" applyNumberFormat="1" applyFont="1"/>
    <xf numFmtId="4" fontId="9" fillId="4" borderId="3" xfId="6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0" fontId="13" fillId="0" borderId="0" xfId="6" applyFont="1" applyAlignment="1">
      <alignment horizontal="center" vertical="center"/>
    </xf>
    <xf numFmtId="166" fontId="11" fillId="5" borderId="2" xfId="6" applyNumberFormat="1" applyFont="1" applyFill="1" applyBorder="1" applyAlignment="1">
      <alignment horizontal="center"/>
    </xf>
    <xf numFmtId="167" fontId="11" fillId="5" borderId="7" xfId="1" applyNumberFormat="1" applyFont="1" applyFill="1" applyBorder="1" applyAlignment="1">
      <alignment horizontal="center"/>
    </xf>
    <xf numFmtId="10" fontId="11" fillId="5" borderId="8" xfId="6" applyNumberFormat="1" applyFont="1" applyFill="1" applyBorder="1" applyAlignment="1">
      <alignment horizontal="center"/>
    </xf>
    <xf numFmtId="168" fontId="11" fillId="5" borderId="2" xfId="2" applyNumberFormat="1" applyFont="1" applyFill="1" applyBorder="1" applyAlignment="1">
      <alignment horizontal="center"/>
    </xf>
    <xf numFmtId="168" fontId="11" fillId="0" borderId="0" xfId="2" applyNumberFormat="1" applyFont="1" applyFill="1" applyBorder="1" applyAlignment="1">
      <alignment horizontal="center"/>
    </xf>
    <xf numFmtId="0" fontId="14" fillId="0" borderId="0" xfId="0" applyFont="1"/>
    <xf numFmtId="0" fontId="11" fillId="5" borderId="2" xfId="6" quotePrefix="1" applyFont="1" applyFill="1" applyBorder="1"/>
    <xf numFmtId="166" fontId="11" fillId="5" borderId="2" xfId="6" applyNumberFormat="1" applyFont="1" applyFill="1" applyBorder="1"/>
    <xf numFmtId="167" fontId="11" fillId="5" borderId="2" xfId="1" applyNumberFormat="1" applyFont="1" applyFill="1" applyBorder="1"/>
    <xf numFmtId="10" fontId="11" fillId="5" borderId="9" xfId="6" applyNumberFormat="1" applyFont="1" applyFill="1" applyBorder="1"/>
    <xf numFmtId="169" fontId="11" fillId="5" borderId="2" xfId="2" applyNumberFormat="1" applyFont="1" applyFill="1" applyBorder="1"/>
    <xf numFmtId="169" fontId="11" fillId="0" borderId="0" xfId="2" applyNumberFormat="1" applyFont="1" applyFill="1" applyBorder="1"/>
    <xf numFmtId="0" fontId="15" fillId="0" borderId="0" xfId="6" applyFont="1" applyAlignment="1">
      <alignment horizontal="center" vertical="center"/>
    </xf>
    <xf numFmtId="0" fontId="15" fillId="6" borderId="0" xfId="6" applyFont="1" applyFill="1" applyAlignment="1">
      <alignment horizontal="center" vertical="center"/>
    </xf>
    <xf numFmtId="166" fontId="14" fillId="0" borderId="0" xfId="0" applyNumberFormat="1" applyFont="1"/>
    <xf numFmtId="0" fontId="16" fillId="0" borderId="10" xfId="6" applyFont="1" applyBorder="1" applyAlignment="1">
      <alignment horizontal="left"/>
    </xf>
    <xf numFmtId="166" fontId="17" fillId="0" borderId="10" xfId="6" applyNumberFormat="1" applyFont="1" applyBorder="1"/>
    <xf numFmtId="167" fontId="17" fillId="0" borderId="10" xfId="7" applyNumberFormat="1" applyFont="1" applyFill="1" applyBorder="1"/>
    <xf numFmtId="10" fontId="11" fillId="0" borderId="11" xfId="6" applyNumberFormat="1" applyFont="1" applyBorder="1"/>
    <xf numFmtId="168" fontId="18" fillId="0" borderId="10" xfId="2" applyNumberFormat="1" applyFont="1" applyFill="1" applyBorder="1"/>
    <xf numFmtId="168" fontId="18" fillId="0" borderId="0" xfId="2" applyNumberFormat="1" applyFont="1" applyFill="1" applyBorder="1"/>
    <xf numFmtId="164" fontId="9" fillId="7" borderId="0" xfId="6" applyNumberFormat="1" applyFont="1" applyFill="1"/>
    <xf numFmtId="0" fontId="19" fillId="0" borderId="0" xfId="6" applyFont="1" applyAlignment="1">
      <alignment horizontal="center" vertical="center"/>
    </xf>
    <xf numFmtId="0" fontId="16" fillId="0" borderId="12" xfId="6" applyFont="1" applyBorder="1" applyAlignment="1">
      <alignment horizontal="left"/>
    </xf>
    <xf numFmtId="166" fontId="17" fillId="0" borderId="12" xfId="6" applyNumberFormat="1" applyFont="1" applyBorder="1"/>
    <xf numFmtId="167" fontId="17" fillId="0" borderId="12" xfId="7" applyNumberFormat="1" applyFont="1" applyFill="1" applyBorder="1"/>
    <xf numFmtId="10" fontId="11" fillId="0" borderId="13" xfId="6" applyNumberFormat="1" applyFont="1" applyBorder="1"/>
    <xf numFmtId="168" fontId="16" fillId="0" borderId="14" xfId="2" applyNumberFormat="1" applyFont="1" applyFill="1" applyBorder="1"/>
    <xf numFmtId="164" fontId="9" fillId="0" borderId="0" xfId="6" applyNumberFormat="1" applyFont="1"/>
    <xf numFmtId="3" fontId="15" fillId="0" borderId="0" xfId="6" applyNumberFormat="1" applyFont="1" applyAlignment="1">
      <alignment horizontal="center" vertical="center"/>
    </xf>
    <xf numFmtId="3" fontId="15" fillId="6" borderId="0" xfId="6" applyNumberFormat="1" applyFont="1" applyFill="1" applyAlignment="1">
      <alignment horizontal="center" vertical="center"/>
    </xf>
    <xf numFmtId="164" fontId="15" fillId="0" borderId="0" xfId="6" applyNumberFormat="1" applyFont="1" applyAlignment="1">
      <alignment horizontal="center" vertical="center"/>
    </xf>
    <xf numFmtId="164" fontId="15" fillId="6" borderId="0" xfId="6" applyNumberFormat="1" applyFont="1" applyFill="1" applyAlignment="1">
      <alignment horizontal="center" vertical="center"/>
    </xf>
    <xf numFmtId="0" fontId="16" fillId="0" borderId="12" xfId="6" applyFont="1" applyBorder="1" applyAlignment="1">
      <alignment horizontal="left" wrapText="1"/>
    </xf>
    <xf numFmtId="0" fontId="16" fillId="0" borderId="15" xfId="6" applyFont="1" applyBorder="1" applyAlignment="1">
      <alignment horizontal="left"/>
    </xf>
    <xf numFmtId="166" fontId="17" fillId="0" borderId="15" xfId="6" applyNumberFormat="1" applyFont="1" applyBorder="1"/>
    <xf numFmtId="167" fontId="17" fillId="0" borderId="15" xfId="1" applyNumberFormat="1" applyFont="1" applyFill="1" applyBorder="1"/>
    <xf numFmtId="10" fontId="11" fillId="0" borderId="16" xfId="6" applyNumberFormat="1" applyFont="1" applyBorder="1"/>
    <xf numFmtId="168" fontId="16" fillId="0" borderId="15" xfId="2" applyNumberFormat="1" applyFont="1" applyFill="1" applyBorder="1"/>
    <xf numFmtId="168" fontId="16" fillId="0" borderId="0" xfId="2" applyNumberFormat="1" applyFont="1" applyFill="1" applyBorder="1"/>
    <xf numFmtId="10" fontId="9" fillId="0" borderId="0" xfId="6" applyNumberFormat="1" applyFont="1"/>
    <xf numFmtId="10" fontId="13" fillId="6" borderId="0" xfId="6" applyNumberFormat="1" applyFont="1" applyFill="1"/>
    <xf numFmtId="0" fontId="20" fillId="5" borderId="3" xfId="6" quotePrefix="1" applyFont="1" applyFill="1" applyBorder="1"/>
    <xf numFmtId="166" fontId="20" fillId="5" borderId="3" xfId="6" applyNumberFormat="1" applyFont="1" applyFill="1" applyBorder="1"/>
    <xf numFmtId="167" fontId="20" fillId="5" borderId="3" xfId="1" applyNumberFormat="1" applyFont="1" applyFill="1" applyBorder="1"/>
    <xf numFmtId="10" fontId="20" fillId="5" borderId="17" xfId="6" applyNumberFormat="1" applyFont="1" applyFill="1" applyBorder="1"/>
    <xf numFmtId="169" fontId="20" fillId="5" borderId="3" xfId="2" applyNumberFormat="1" applyFont="1" applyFill="1" applyBorder="1"/>
    <xf numFmtId="169" fontId="20" fillId="0" borderId="0" xfId="2" applyNumberFormat="1" applyFont="1" applyFill="1" applyBorder="1"/>
    <xf numFmtId="10" fontId="15" fillId="8" borderId="0" xfId="3" applyNumberFormat="1" applyFont="1" applyFill="1" applyBorder="1" applyAlignment="1">
      <alignment horizontal="center" vertical="center"/>
    </xf>
    <xf numFmtId="0" fontId="15" fillId="8" borderId="0" xfId="6" applyFont="1" applyFill="1"/>
    <xf numFmtId="0" fontId="16" fillId="0" borderId="12" xfId="6" applyFont="1" applyBorder="1" applyAlignment="1">
      <alignment horizontal="left" vertical="center" wrapText="1"/>
    </xf>
    <xf numFmtId="10" fontId="21" fillId="0" borderId="18" xfId="6" applyNumberFormat="1" applyFont="1" applyBorder="1"/>
    <xf numFmtId="168" fontId="16" fillId="0" borderId="14" xfId="2" applyNumberFormat="1" applyFont="1" applyBorder="1"/>
    <xf numFmtId="167" fontId="17" fillId="0" borderId="12" xfId="1" applyNumberFormat="1" applyFont="1" applyFill="1" applyBorder="1"/>
    <xf numFmtId="168" fontId="16" fillId="0" borderId="12" xfId="2" applyNumberFormat="1" applyFont="1" applyFill="1" applyBorder="1"/>
    <xf numFmtId="0" fontId="16" fillId="0" borderId="14" xfId="6" applyFont="1" applyBorder="1" applyAlignment="1">
      <alignment horizontal="left"/>
    </xf>
    <xf numFmtId="166" fontId="17" fillId="0" borderId="14" xfId="6" applyNumberFormat="1" applyFont="1" applyBorder="1"/>
    <xf numFmtId="167" fontId="17" fillId="0" borderId="14" xfId="1" applyNumberFormat="1" applyFont="1" applyFill="1" applyBorder="1"/>
    <xf numFmtId="10" fontId="11" fillId="0" borderId="18" xfId="6" applyNumberFormat="1" applyFont="1" applyBorder="1"/>
    <xf numFmtId="2" fontId="9" fillId="0" borderId="0" xfId="6" applyNumberFormat="1" applyFont="1"/>
    <xf numFmtId="0" fontId="20" fillId="5" borderId="19" xfId="6" quotePrefix="1" applyFont="1" applyFill="1" applyBorder="1"/>
    <xf numFmtId="166" fontId="20" fillId="5" borderId="19" xfId="6" applyNumberFormat="1" applyFont="1" applyFill="1" applyBorder="1"/>
    <xf numFmtId="167" fontId="20" fillId="5" borderId="19" xfId="1" applyNumberFormat="1" applyFont="1" applyFill="1" applyBorder="1"/>
    <xf numFmtId="10" fontId="20" fillId="5" borderId="4" xfId="6" applyNumberFormat="1" applyFont="1" applyFill="1" applyBorder="1"/>
    <xf numFmtId="0" fontId="16" fillId="0" borderId="20" xfId="6" quotePrefix="1" applyFont="1" applyBorder="1"/>
    <xf numFmtId="10" fontId="16" fillId="0" borderId="13" xfId="6" applyNumberFormat="1" applyFont="1" applyBorder="1"/>
    <xf numFmtId="0" fontId="16" fillId="0" borderId="12" xfId="6" quotePrefix="1" applyFont="1" applyBorder="1"/>
    <xf numFmtId="171" fontId="6" fillId="0" borderId="0" xfId="0" applyNumberFormat="1" applyFont="1"/>
    <xf numFmtId="0" fontId="15" fillId="0" borderId="0" xfId="6" applyFont="1"/>
    <xf numFmtId="0" fontId="11" fillId="5" borderId="19" xfId="6" quotePrefix="1" applyFont="1" applyFill="1" applyBorder="1" applyAlignment="1">
      <alignment vertical="center"/>
    </xf>
    <xf numFmtId="166" fontId="11" fillId="5" borderId="19" xfId="6" applyNumberFormat="1" applyFont="1" applyFill="1" applyBorder="1" applyAlignment="1">
      <alignment vertical="center"/>
    </xf>
    <xf numFmtId="167" fontId="11" fillId="5" borderId="19" xfId="1" applyNumberFormat="1" applyFont="1" applyFill="1" applyBorder="1" applyAlignment="1">
      <alignment vertical="center"/>
    </xf>
    <xf numFmtId="10" fontId="11" fillId="5" borderId="4" xfId="6" applyNumberFormat="1" applyFont="1" applyFill="1" applyBorder="1" applyAlignment="1">
      <alignment vertical="center"/>
    </xf>
    <xf numFmtId="169" fontId="11" fillId="5" borderId="19" xfId="2" applyNumberFormat="1" applyFont="1" applyFill="1" applyBorder="1" applyAlignment="1">
      <alignment vertical="center"/>
    </xf>
    <xf numFmtId="169" fontId="11" fillId="0" borderId="0" xfId="2" applyNumberFormat="1" applyFont="1" applyFill="1" applyBorder="1" applyAlignment="1">
      <alignment vertical="center"/>
    </xf>
    <xf numFmtId="167" fontId="22" fillId="0" borderId="0" xfId="1" applyNumberFormat="1" applyFont="1" applyFill="1" applyBorder="1"/>
    <xf numFmtId="167" fontId="6" fillId="0" borderId="0" xfId="0" applyNumberFormat="1" applyFont="1"/>
    <xf numFmtId="168" fontId="6" fillId="0" borderId="0" xfId="0" applyNumberFormat="1" applyFont="1"/>
    <xf numFmtId="167" fontId="23" fillId="7" borderId="0" xfId="0" applyNumberFormat="1" applyFont="1" applyFill="1"/>
    <xf numFmtId="9" fontId="22" fillId="0" borderId="0" xfId="3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6" fontId="24" fillId="9" borderId="19" xfId="6" applyNumberFormat="1" applyFont="1" applyFill="1" applyBorder="1" applyAlignment="1">
      <alignment horizontal="center" vertical="center"/>
    </xf>
    <xf numFmtId="167" fontId="24" fillId="9" borderId="19" xfId="1" applyNumberFormat="1" applyFont="1" applyFill="1" applyBorder="1" applyAlignment="1">
      <alignment horizontal="center" vertical="center"/>
    </xf>
    <xf numFmtId="10" fontId="24" fillId="9" borderId="19" xfId="6" applyNumberFormat="1" applyFont="1" applyFill="1" applyBorder="1" applyAlignment="1">
      <alignment horizontal="center" vertical="center"/>
    </xf>
    <xf numFmtId="168" fontId="24" fillId="9" borderId="19" xfId="2" applyNumberFormat="1" applyFont="1" applyFill="1" applyBorder="1" applyAlignment="1">
      <alignment horizontal="center" vertical="center"/>
    </xf>
    <xf numFmtId="168" fontId="24" fillId="0" borderId="0" xfId="2" applyNumberFormat="1" applyFont="1" applyFill="1" applyBorder="1" applyAlignment="1">
      <alignment horizontal="center" vertical="center"/>
    </xf>
    <xf numFmtId="0" fontId="11" fillId="0" borderId="11" xfId="6" applyFont="1" applyBorder="1"/>
    <xf numFmtId="10" fontId="11" fillId="0" borderId="22" xfId="6" applyNumberFormat="1" applyFont="1" applyBorder="1"/>
    <xf numFmtId="168" fontId="11" fillId="4" borderId="23" xfId="2" applyNumberFormat="1" applyFont="1" applyFill="1" applyBorder="1"/>
    <xf numFmtId="168" fontId="11" fillId="0" borderId="0" xfId="2" applyNumberFormat="1" applyFont="1" applyFill="1" applyBorder="1"/>
    <xf numFmtId="0" fontId="11" fillId="0" borderId="13" xfId="6" applyFont="1" applyBorder="1"/>
    <xf numFmtId="166" fontId="17" fillId="0" borderId="24" xfId="6" applyNumberFormat="1" applyFont="1" applyBorder="1"/>
    <xf numFmtId="167" fontId="17" fillId="4" borderId="24" xfId="1" applyNumberFormat="1" applyFont="1" applyFill="1" applyBorder="1"/>
    <xf numFmtId="10" fontId="11" fillId="0" borderId="24" xfId="6" applyNumberFormat="1" applyFont="1" applyBorder="1"/>
    <xf numFmtId="168" fontId="11" fillId="4" borderId="25" xfId="2" applyNumberFormat="1" applyFont="1" applyFill="1" applyBorder="1"/>
    <xf numFmtId="167" fontId="17" fillId="0" borderId="24" xfId="1" applyNumberFormat="1" applyFont="1" applyFill="1" applyBorder="1"/>
    <xf numFmtId="168" fontId="11" fillId="0" borderId="25" xfId="2" applyNumberFormat="1" applyFont="1" applyFill="1" applyBorder="1"/>
    <xf numFmtId="0" fontId="11" fillId="0" borderId="13" xfId="6" quotePrefix="1" applyFont="1" applyBorder="1"/>
    <xf numFmtId="166" fontId="17" fillId="10" borderId="24" xfId="6" applyNumberFormat="1" applyFont="1" applyFill="1" applyBorder="1"/>
    <xf numFmtId="167" fontId="17" fillId="7" borderId="24" xfId="1" applyNumberFormat="1" applyFont="1" applyFill="1" applyBorder="1"/>
    <xf numFmtId="168" fontId="11" fillId="10" borderId="25" xfId="2" applyNumberFormat="1" applyFont="1" applyFill="1" applyBorder="1"/>
    <xf numFmtId="167" fontId="17" fillId="0" borderId="26" xfId="1" applyNumberFormat="1" applyFont="1" applyFill="1" applyBorder="1"/>
    <xf numFmtId="10" fontId="16" fillId="0" borderId="26" xfId="6" applyNumberFormat="1" applyFont="1" applyBorder="1"/>
    <xf numFmtId="0" fontId="24" fillId="9" borderId="19" xfId="6" quotePrefix="1" applyFont="1" applyFill="1" applyBorder="1"/>
    <xf numFmtId="166" fontId="24" fillId="9" borderId="19" xfId="6" applyNumberFormat="1" applyFont="1" applyFill="1" applyBorder="1"/>
    <xf numFmtId="167" fontId="24" fillId="9" borderId="19" xfId="1" applyNumberFormat="1" applyFont="1" applyFill="1" applyBorder="1"/>
    <xf numFmtId="10" fontId="24" fillId="9" borderId="19" xfId="6" applyNumberFormat="1" applyFont="1" applyFill="1" applyBorder="1"/>
    <xf numFmtId="169" fontId="24" fillId="9" borderId="19" xfId="2" applyNumberFormat="1" applyFont="1" applyFill="1" applyBorder="1"/>
    <xf numFmtId="169" fontId="24" fillId="0" borderId="0" xfId="2" applyNumberFormat="1" applyFont="1" applyFill="1" applyBorder="1"/>
    <xf numFmtId="0" fontId="11" fillId="0" borderId="27" xfId="6" quotePrefix="1" applyFont="1" applyBorder="1"/>
    <xf numFmtId="0" fontId="17" fillId="0" borderId="28" xfId="0" applyFont="1" applyBorder="1"/>
    <xf numFmtId="0" fontId="17" fillId="0" borderId="21" xfId="0" applyFont="1" applyBorder="1"/>
    <xf numFmtId="0" fontId="11" fillId="0" borderId="21" xfId="0" applyFont="1" applyBorder="1"/>
    <xf numFmtId="168" fontId="11" fillId="0" borderId="29" xfId="0" applyNumberFormat="1" applyFont="1" applyBorder="1"/>
    <xf numFmtId="168" fontId="11" fillId="0" borderId="0" xfId="0" applyNumberFormat="1" applyFont="1"/>
    <xf numFmtId="166" fontId="17" fillId="0" borderId="30" xfId="0" applyNumberFormat="1" applyFont="1" applyBorder="1"/>
    <xf numFmtId="167" fontId="17" fillId="0" borderId="24" xfId="0" applyNumberFormat="1" applyFont="1" applyBorder="1"/>
    <xf numFmtId="10" fontId="11" fillId="0" borderId="24" xfId="0" applyNumberFormat="1" applyFont="1" applyBorder="1"/>
    <xf numFmtId="0" fontId="11" fillId="0" borderId="18" xfId="0" applyFont="1" applyBorder="1"/>
    <xf numFmtId="0" fontId="17" fillId="0" borderId="31" xfId="0" applyFont="1" applyBorder="1"/>
    <xf numFmtId="0" fontId="17" fillId="0" borderId="26" xfId="0" applyFont="1" applyBorder="1"/>
    <xf numFmtId="0" fontId="11" fillId="0" borderId="26" xfId="0" applyFont="1" applyBorder="1"/>
    <xf numFmtId="168" fontId="11" fillId="0" borderId="32" xfId="0" applyNumberFormat="1" applyFont="1" applyBorder="1"/>
    <xf numFmtId="166" fontId="24" fillId="9" borderId="19" xfId="0" applyNumberFormat="1" applyFont="1" applyFill="1" applyBorder="1"/>
    <xf numFmtId="10" fontId="24" fillId="9" borderId="19" xfId="0" applyNumberFormat="1" applyFont="1" applyFill="1" applyBorder="1"/>
    <xf numFmtId="168" fontId="24" fillId="9" borderId="19" xfId="2" applyNumberFormat="1" applyFont="1" applyFill="1" applyBorder="1"/>
    <xf numFmtId="168" fontId="24" fillId="0" borderId="0" xfId="2" applyNumberFormat="1" applyFont="1" applyFill="1" applyBorder="1"/>
    <xf numFmtId="0" fontId="24" fillId="9" borderId="19" xfId="6" quotePrefix="1" applyFont="1" applyFill="1" applyBorder="1" applyAlignment="1">
      <alignment vertical="center"/>
    </xf>
    <xf numFmtId="0" fontId="24" fillId="0" borderId="0" xfId="6" quotePrefix="1" applyFont="1" applyAlignment="1">
      <alignment vertical="center"/>
    </xf>
    <xf numFmtId="166" fontId="24" fillId="0" borderId="0" xfId="0" applyNumberFormat="1" applyFont="1"/>
    <xf numFmtId="167" fontId="24" fillId="0" borderId="0" xfId="1" applyNumberFormat="1" applyFont="1" applyFill="1" applyBorder="1"/>
    <xf numFmtId="10" fontId="24" fillId="0" borderId="0" xfId="0" applyNumberFormat="1" applyFont="1"/>
    <xf numFmtId="0" fontId="11" fillId="11" borderId="19" xfId="6" quotePrefix="1" applyFont="1" applyFill="1" applyBorder="1" applyAlignment="1">
      <alignment horizontal="center" vertical="center"/>
    </xf>
    <xf numFmtId="166" fontId="11" fillId="11" borderId="19" xfId="0" applyNumberFormat="1" applyFont="1" applyFill="1" applyBorder="1" applyAlignment="1">
      <alignment vertical="center"/>
    </xf>
    <xf numFmtId="167" fontId="11" fillId="11" borderId="19" xfId="1" applyNumberFormat="1" applyFont="1" applyFill="1" applyBorder="1" applyAlignment="1">
      <alignment vertical="center"/>
    </xf>
    <xf numFmtId="10" fontId="11" fillId="11" borderId="19" xfId="0" applyNumberFormat="1" applyFont="1" applyFill="1" applyBorder="1" applyAlignment="1">
      <alignment vertical="center"/>
    </xf>
    <xf numFmtId="169" fontId="11" fillId="11" borderId="19" xfId="2" applyNumberFormat="1" applyFont="1" applyFill="1" applyBorder="1" applyAlignment="1">
      <alignment vertical="center"/>
    </xf>
    <xf numFmtId="0" fontId="24" fillId="12" borderId="2" xfId="6" applyFont="1" applyFill="1" applyBorder="1" applyAlignment="1">
      <alignment horizontal="center" vertical="center"/>
    </xf>
    <xf numFmtId="0" fontId="24" fillId="12" borderId="3" xfId="6" applyFont="1" applyFill="1" applyBorder="1" applyAlignment="1">
      <alignment horizontal="center" vertical="center"/>
    </xf>
    <xf numFmtId="166" fontId="24" fillId="12" borderId="19" xfId="6" applyNumberFormat="1" applyFont="1" applyFill="1" applyBorder="1" applyAlignment="1">
      <alignment horizontal="center" vertical="center"/>
    </xf>
    <xf numFmtId="167" fontId="24" fillId="12" borderId="19" xfId="1" applyNumberFormat="1" applyFont="1" applyFill="1" applyBorder="1" applyAlignment="1">
      <alignment horizontal="center" vertical="center"/>
    </xf>
    <xf numFmtId="10" fontId="24" fillId="12" borderId="19" xfId="6" applyNumberFormat="1" applyFont="1" applyFill="1" applyBorder="1" applyAlignment="1">
      <alignment horizontal="center" vertical="center"/>
    </xf>
    <xf numFmtId="168" fontId="24" fillId="12" borderId="19" xfId="2" applyNumberFormat="1" applyFont="1" applyFill="1" applyBorder="1" applyAlignment="1">
      <alignment horizontal="center" vertical="center"/>
    </xf>
    <xf numFmtId="166" fontId="17" fillId="0" borderId="33" xfId="6" applyNumberFormat="1" applyFont="1" applyBorder="1"/>
    <xf numFmtId="167" fontId="17" fillId="0" borderId="22" xfId="7" applyNumberFormat="1" applyFont="1" applyFill="1" applyBorder="1"/>
    <xf numFmtId="10" fontId="25" fillId="0" borderId="24" xfId="6" applyNumberFormat="1" applyFont="1" applyBorder="1"/>
    <xf numFmtId="168" fontId="11" fillId="0" borderId="23" xfId="2" applyNumberFormat="1" applyFont="1" applyFill="1" applyBorder="1"/>
    <xf numFmtId="168" fontId="11" fillId="0" borderId="0" xfId="6" applyNumberFormat="1" applyFont="1"/>
    <xf numFmtId="0" fontId="26" fillId="0" borderId="13" xfId="6" applyFont="1" applyBorder="1"/>
    <xf numFmtId="164" fontId="17" fillId="0" borderId="28" xfId="0" applyNumberFormat="1" applyFont="1" applyBorder="1"/>
    <xf numFmtId="0" fontId="16" fillId="0" borderId="18" xfId="6" quotePrefix="1" applyFont="1" applyBorder="1"/>
    <xf numFmtId="166" fontId="17" fillId="0" borderId="31" xfId="0" applyNumberFormat="1" applyFont="1" applyBorder="1"/>
    <xf numFmtId="167" fontId="17" fillId="0" borderId="26" xfId="0" applyNumberFormat="1" applyFont="1" applyBorder="1"/>
    <xf numFmtId="168" fontId="16" fillId="0" borderId="0" xfId="0" applyNumberFormat="1" applyFont="1"/>
    <xf numFmtId="168" fontId="16" fillId="0" borderId="32" xfId="2" applyNumberFormat="1" applyFont="1" applyFill="1" applyBorder="1"/>
    <xf numFmtId="0" fontId="24" fillId="12" borderId="19" xfId="6" quotePrefix="1" applyFont="1" applyFill="1" applyBorder="1"/>
    <xf numFmtId="166" fontId="24" fillId="12" borderId="19" xfId="0" applyNumberFormat="1" applyFont="1" applyFill="1" applyBorder="1"/>
    <xf numFmtId="167" fontId="24" fillId="12" borderId="19" xfId="1" applyNumberFormat="1" applyFont="1" applyFill="1" applyBorder="1"/>
    <xf numFmtId="10" fontId="24" fillId="12" borderId="19" xfId="0" applyNumberFormat="1" applyFont="1" applyFill="1" applyBorder="1" applyAlignment="1">
      <alignment vertical="center"/>
    </xf>
    <xf numFmtId="169" fontId="24" fillId="12" borderId="19" xfId="2" applyNumberFormat="1" applyFont="1" applyFill="1" applyBorder="1"/>
    <xf numFmtId="0" fontId="27" fillId="0" borderId="3" xfId="6" applyFont="1" applyBorder="1"/>
    <xf numFmtId="166" fontId="27" fillId="0" borderId="34" xfId="0" applyNumberFormat="1" applyFont="1" applyBorder="1"/>
    <xf numFmtId="167" fontId="27" fillId="0" borderId="35" xfId="0" applyNumberFormat="1" applyFont="1" applyBorder="1"/>
    <xf numFmtId="0" fontId="27" fillId="0" borderId="35" xfId="0" applyFont="1" applyBorder="1"/>
    <xf numFmtId="168" fontId="27" fillId="0" borderId="35" xfId="0" applyNumberFormat="1" applyFont="1" applyBorder="1"/>
    <xf numFmtId="168" fontId="27" fillId="0" borderId="0" xfId="0" applyNumberFormat="1" applyFont="1"/>
    <xf numFmtId="0" fontId="24" fillId="12" borderId="19" xfId="6" quotePrefix="1" applyFont="1" applyFill="1" applyBorder="1" applyAlignment="1">
      <alignment vertical="center"/>
    </xf>
    <xf numFmtId="166" fontId="24" fillId="12" borderId="19" xfId="0" applyNumberFormat="1" applyFont="1" applyFill="1" applyBorder="1" applyAlignment="1">
      <alignment vertical="center"/>
    </xf>
    <xf numFmtId="167" fontId="24" fillId="12" borderId="19" xfId="1" applyNumberFormat="1" applyFont="1" applyFill="1" applyBorder="1" applyAlignment="1">
      <alignment vertical="center"/>
    </xf>
    <xf numFmtId="169" fontId="24" fillId="12" borderId="19" xfId="2" applyNumberFormat="1" applyFont="1" applyFill="1" applyBorder="1" applyAlignment="1">
      <alignment vertical="center"/>
    </xf>
    <xf numFmtId="169" fontId="24" fillId="0" borderId="0" xfId="2" applyNumberFormat="1" applyFont="1" applyFill="1" applyBorder="1" applyAlignment="1">
      <alignment vertical="center"/>
    </xf>
    <xf numFmtId="0" fontId="28" fillId="13" borderId="19" xfId="6" quotePrefix="1" applyFont="1" applyFill="1" applyBorder="1" applyAlignment="1">
      <alignment vertical="center"/>
    </xf>
    <xf numFmtId="166" fontId="28" fillId="13" borderId="19" xfId="0" applyNumberFormat="1" applyFont="1" applyFill="1" applyBorder="1" applyAlignment="1">
      <alignment vertical="center"/>
    </xf>
    <xf numFmtId="167" fontId="28" fillId="13" borderId="19" xfId="1" applyNumberFormat="1" applyFont="1" applyFill="1" applyBorder="1" applyAlignment="1">
      <alignment vertical="center"/>
    </xf>
    <xf numFmtId="10" fontId="28" fillId="13" borderId="19" xfId="0" applyNumberFormat="1" applyFont="1" applyFill="1" applyBorder="1" applyAlignment="1">
      <alignment vertical="center"/>
    </xf>
    <xf numFmtId="169" fontId="28" fillId="13" borderId="19" xfId="2" applyNumberFormat="1" applyFont="1" applyFill="1" applyBorder="1" applyAlignment="1">
      <alignment vertical="center"/>
    </xf>
    <xf numFmtId="168" fontId="23" fillId="0" borderId="0" xfId="0" applyNumberFormat="1" applyFont="1"/>
    <xf numFmtId="0" fontId="11" fillId="14" borderId="19" xfId="6" quotePrefix="1" applyFont="1" applyFill="1" applyBorder="1" applyAlignment="1">
      <alignment horizontal="center" vertical="center"/>
    </xf>
    <xf numFmtId="166" fontId="11" fillId="14" borderId="19" xfId="0" applyNumberFormat="1" applyFont="1" applyFill="1" applyBorder="1" applyAlignment="1">
      <alignment vertical="center"/>
    </xf>
    <xf numFmtId="167" fontId="11" fillId="14" borderId="19" xfId="1" applyNumberFormat="1" applyFont="1" applyFill="1" applyBorder="1" applyAlignment="1">
      <alignment vertical="center"/>
    </xf>
    <xf numFmtId="10" fontId="11" fillId="14" borderId="19" xfId="0" applyNumberFormat="1" applyFont="1" applyFill="1" applyBorder="1" applyAlignment="1">
      <alignment vertical="center"/>
    </xf>
    <xf numFmtId="169" fontId="11" fillId="14" borderId="19" xfId="2" applyNumberFormat="1" applyFont="1" applyFill="1" applyBorder="1" applyAlignment="1">
      <alignment vertical="center"/>
    </xf>
    <xf numFmtId="164" fontId="15" fillId="0" borderId="0" xfId="6" applyNumberFormat="1" applyFont="1"/>
    <xf numFmtId="172" fontId="15" fillId="0" borderId="0" xfId="6" applyNumberFormat="1" applyFont="1" applyAlignment="1">
      <alignment horizontal="center" vertical="center"/>
    </xf>
    <xf numFmtId="0" fontId="4" fillId="0" borderId="0" xfId="0" applyFont="1"/>
    <xf numFmtId="4" fontId="4" fillId="0" borderId="0" xfId="0" applyNumberFormat="1" applyFont="1"/>
    <xf numFmtId="169" fontId="11" fillId="0" borderId="0" xfId="0" applyNumberFormat="1" applyFont="1" applyAlignment="1">
      <alignment horizontal="center"/>
    </xf>
    <xf numFmtId="173" fontId="11" fillId="0" borderId="0" xfId="0" applyNumberFormat="1" applyFont="1" applyAlignment="1">
      <alignment horizontal="center"/>
    </xf>
    <xf numFmtId="174" fontId="29" fillId="0" borderId="0" xfId="0" applyNumberFormat="1" applyFont="1" applyAlignment="1">
      <alignment horizontal="center"/>
    </xf>
    <xf numFmtId="0" fontId="8" fillId="0" borderId="0" xfId="6" applyFont="1" applyAlignment="1">
      <alignment horizontal="center" vertical="center"/>
    </xf>
    <xf numFmtId="166" fontId="9" fillId="0" borderId="0" xfId="6" applyNumberFormat="1" applyFont="1"/>
    <xf numFmtId="0" fontId="15" fillId="11" borderId="0" xfId="6" applyFont="1" applyFill="1"/>
    <xf numFmtId="0" fontId="9" fillId="11" borderId="0" xfId="6" applyFont="1" applyFill="1"/>
    <xf numFmtId="0" fontId="26" fillId="0" borderId="0" xfId="6" applyFont="1"/>
    <xf numFmtId="166" fontId="26" fillId="0" borderId="0" xfId="6" applyNumberFormat="1" applyFont="1"/>
    <xf numFmtId="175" fontId="13" fillId="0" borderId="0" xfId="6" applyNumberFormat="1" applyFont="1" applyAlignment="1">
      <alignment horizontal="left" vertical="top"/>
    </xf>
    <xf numFmtId="167" fontId="15" fillId="0" borderId="0" xfId="1" applyNumberFormat="1" applyFont="1" applyFill="1" applyBorder="1" applyAlignment="1">
      <alignment horizontal="center" vertical="center"/>
    </xf>
    <xf numFmtId="166" fontId="13" fillId="0" borderId="0" xfId="6" applyNumberFormat="1" applyFont="1"/>
    <xf numFmtId="176" fontId="9" fillId="15" borderId="0" xfId="6" applyNumberFormat="1" applyFont="1" applyFill="1"/>
    <xf numFmtId="0" fontId="22" fillId="0" borderId="0" xfId="0" applyFont="1"/>
    <xf numFmtId="176" fontId="9" fillId="0" borderId="0" xfId="6" applyNumberFormat="1" applyFont="1"/>
    <xf numFmtId="0" fontId="26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26" fillId="16" borderId="0" xfId="6" applyFont="1" applyFill="1"/>
    <xf numFmtId="166" fontId="26" fillId="16" borderId="0" xfId="6" applyNumberFormat="1" applyFont="1" applyFill="1"/>
    <xf numFmtId="0" fontId="31" fillId="17" borderId="0" xfId="0" applyFont="1" applyFill="1" applyAlignment="1">
      <alignment horizontal="center" vertical="center"/>
    </xf>
    <xf numFmtId="16" fontId="31" fillId="17" borderId="0" xfId="0" quotePrefix="1" applyNumberFormat="1" applyFont="1" applyFill="1" applyAlignment="1">
      <alignment horizontal="center" vertical="center"/>
    </xf>
    <xf numFmtId="0" fontId="31" fillId="17" borderId="0" xfId="0" applyFont="1" applyFill="1" applyAlignment="1">
      <alignment horizontal="center" vertical="center" wrapText="1"/>
    </xf>
    <xf numFmtId="10" fontId="33" fillId="0" borderId="0" xfId="0" applyNumberFormat="1" applyFont="1" applyAlignment="1">
      <alignment horizontal="left" vertical="top"/>
    </xf>
    <xf numFmtId="0" fontId="8" fillId="20" borderId="9" xfId="6" applyFont="1" applyFill="1" applyBorder="1" applyAlignment="1">
      <alignment horizontal="center" vertical="center"/>
    </xf>
    <xf numFmtId="177" fontId="30" fillId="0" borderId="33" xfId="1" applyNumberFormat="1" applyFont="1" applyFill="1" applyBorder="1" applyAlignment="1">
      <alignment horizontal="center" vertical="center"/>
    </xf>
    <xf numFmtId="0" fontId="10" fillId="0" borderId="40" xfId="0" applyFont="1" applyBorder="1"/>
    <xf numFmtId="10" fontId="34" fillId="0" borderId="0" xfId="3" applyNumberFormat="1" applyFont="1" applyFill="1" applyBorder="1" applyAlignment="1">
      <alignment horizontal="center" vertical="center"/>
    </xf>
    <xf numFmtId="10" fontId="34" fillId="0" borderId="41" xfId="3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9" fillId="0" borderId="40" xfId="6" applyFont="1" applyBorder="1"/>
    <xf numFmtId="0" fontId="9" fillId="0" borderId="17" xfId="6" applyFont="1" applyBorder="1"/>
    <xf numFmtId="177" fontId="30" fillId="0" borderId="48" xfId="1" applyNumberFormat="1" applyFont="1" applyFill="1" applyBorder="1" applyAlignment="1">
      <alignment horizontal="center" vertical="center"/>
    </xf>
    <xf numFmtId="177" fontId="30" fillId="0" borderId="19" xfId="1" applyNumberFormat="1" applyFont="1" applyFill="1" applyBorder="1" applyAlignment="1">
      <alignment horizontal="center" vertical="center"/>
    </xf>
    <xf numFmtId="3" fontId="37" fillId="22" borderId="9" xfId="6" applyNumberFormat="1" applyFont="1" applyFill="1" applyBorder="1" applyAlignment="1">
      <alignment horizontal="left"/>
    </xf>
    <xf numFmtId="3" fontId="37" fillId="22" borderId="49" xfId="6" applyNumberFormat="1" applyFont="1" applyFill="1" applyBorder="1" applyAlignment="1">
      <alignment horizontal="center"/>
    </xf>
    <xf numFmtId="3" fontId="38" fillId="22" borderId="2" xfId="6" applyNumberFormat="1" applyFont="1" applyFill="1" applyBorder="1"/>
    <xf numFmtId="44" fontId="38" fillId="22" borderId="2" xfId="2" applyFont="1" applyFill="1" applyBorder="1"/>
    <xf numFmtId="0" fontId="39" fillId="0" borderId="0" xfId="6" applyFont="1"/>
    <xf numFmtId="169" fontId="37" fillId="22" borderId="2" xfId="8" applyNumberFormat="1" applyFont="1" applyFill="1" applyBorder="1" applyAlignment="1">
      <alignment horizontal="center"/>
    </xf>
    <xf numFmtId="169" fontId="37" fillId="22" borderId="2" xfId="8" applyNumberFormat="1" applyFont="1" applyFill="1" applyBorder="1" applyAlignment="1">
      <alignment horizontal="right"/>
    </xf>
    <xf numFmtId="169" fontId="37" fillId="0" borderId="0" xfId="8" applyNumberFormat="1" applyFont="1" applyFill="1" applyBorder="1" applyAlignment="1">
      <alignment horizontal="center"/>
    </xf>
    <xf numFmtId="178" fontId="38" fillId="22" borderId="2" xfId="6" applyNumberFormat="1" applyFont="1" applyFill="1" applyBorder="1" applyAlignment="1">
      <alignment wrapText="1"/>
    </xf>
    <xf numFmtId="0" fontId="37" fillId="22" borderId="40" xfId="6" applyFont="1" applyFill="1" applyBorder="1" applyAlignment="1">
      <alignment horizontal="left"/>
    </xf>
    <xf numFmtId="4" fontId="37" fillId="22" borderId="41" xfId="6" applyNumberFormat="1" applyFont="1" applyFill="1" applyBorder="1"/>
    <xf numFmtId="4" fontId="37" fillId="22" borderId="50" xfId="6" applyNumberFormat="1" applyFont="1" applyFill="1" applyBorder="1" applyAlignment="1">
      <alignment horizontal="center"/>
    </xf>
    <xf numFmtId="44" fontId="37" fillId="22" borderId="50" xfId="2" applyFont="1" applyFill="1" applyBorder="1" applyAlignment="1">
      <alignment horizontal="center"/>
    </xf>
    <xf numFmtId="169" fontId="37" fillId="22" borderId="50" xfId="8" applyNumberFormat="1" applyFont="1" applyFill="1" applyBorder="1" applyAlignment="1">
      <alignment horizontal="center"/>
    </xf>
    <xf numFmtId="169" fontId="37" fillId="22" borderId="50" xfId="8" applyNumberFormat="1" applyFont="1" applyFill="1" applyBorder="1" applyAlignment="1">
      <alignment horizontal="right"/>
    </xf>
    <xf numFmtId="178" fontId="37" fillId="22" borderId="50" xfId="6" applyNumberFormat="1" applyFont="1" applyFill="1" applyBorder="1" applyAlignment="1">
      <alignment horizontal="center" wrapText="1"/>
    </xf>
    <xf numFmtId="0" fontId="37" fillId="22" borderId="17" xfId="6" applyFont="1" applyFill="1" applyBorder="1" applyAlignment="1">
      <alignment horizontal="left"/>
    </xf>
    <xf numFmtId="4" fontId="37" fillId="22" borderId="51" xfId="6" applyNumberFormat="1" applyFont="1" applyFill="1" applyBorder="1" applyAlignment="1">
      <alignment horizontal="center"/>
    </xf>
    <xf numFmtId="4" fontId="37" fillId="22" borderId="3" xfId="6" applyNumberFormat="1" applyFont="1" applyFill="1" applyBorder="1" applyAlignment="1">
      <alignment horizontal="center"/>
    </xf>
    <xf numFmtId="44" fontId="37" fillId="22" borderId="3" xfId="2" applyFont="1" applyFill="1" applyBorder="1" applyAlignment="1">
      <alignment horizontal="center"/>
    </xf>
    <xf numFmtId="169" fontId="40" fillId="22" borderId="3" xfId="8" applyNumberFormat="1" applyFont="1" applyFill="1" applyBorder="1" applyAlignment="1">
      <alignment horizontal="center"/>
    </xf>
    <xf numFmtId="169" fontId="40" fillId="22" borderId="3" xfId="8" applyNumberFormat="1" applyFont="1" applyFill="1" applyBorder="1" applyAlignment="1">
      <alignment horizontal="right"/>
    </xf>
    <xf numFmtId="169" fontId="40" fillId="0" borderId="0" xfId="8" applyNumberFormat="1" applyFont="1" applyFill="1" applyBorder="1" applyAlignment="1">
      <alignment horizontal="center"/>
    </xf>
    <xf numFmtId="178" fontId="37" fillId="22" borderId="3" xfId="6" applyNumberFormat="1" applyFont="1" applyFill="1" applyBorder="1" applyAlignment="1">
      <alignment horizontal="center" wrapText="1"/>
    </xf>
    <xf numFmtId="0" fontId="40" fillId="0" borderId="0" xfId="6" applyFont="1" applyAlignment="1">
      <alignment horizontal="left"/>
    </xf>
    <xf numFmtId="4" fontId="40" fillId="0" borderId="0" xfId="6" applyNumberFormat="1" applyFont="1"/>
    <xf numFmtId="44" fontId="40" fillId="0" borderId="0" xfId="2" applyFont="1" applyBorder="1"/>
    <xf numFmtId="169" fontId="40" fillId="0" borderId="0" xfId="8" applyNumberFormat="1" applyFont="1" applyBorder="1" applyAlignment="1">
      <alignment horizontal="right"/>
    </xf>
    <xf numFmtId="179" fontId="41" fillId="0" borderId="0" xfId="0" applyNumberFormat="1" applyFont="1"/>
    <xf numFmtId="169" fontId="40" fillId="0" borderId="0" xfId="8" applyNumberFormat="1" applyFont="1" applyFill="1" applyBorder="1" applyAlignment="1">
      <alignment horizontal="right"/>
    </xf>
    <xf numFmtId="178" fontId="40" fillId="0" borderId="0" xfId="6" applyNumberFormat="1" applyFont="1"/>
    <xf numFmtId="0" fontId="41" fillId="4" borderId="19" xfId="6" applyFont="1" applyFill="1" applyBorder="1" applyAlignment="1">
      <alignment horizontal="left"/>
    </xf>
    <xf numFmtId="180" fontId="41" fillId="4" borderId="19" xfId="6" applyNumberFormat="1" applyFont="1" applyFill="1" applyBorder="1" applyAlignment="1">
      <alignment horizontal="left"/>
    </xf>
    <xf numFmtId="43" fontId="41" fillId="0" borderId="19" xfId="1" applyFont="1" applyFill="1" applyBorder="1"/>
    <xf numFmtId="10" fontId="41" fillId="0" borderId="47" xfId="6" applyNumberFormat="1" applyFont="1" applyBorder="1" applyAlignment="1">
      <alignment horizontal="right"/>
    </xf>
    <xf numFmtId="44" fontId="40" fillId="0" borderId="23" xfId="2" applyFont="1" applyBorder="1" applyAlignment="1">
      <alignment horizontal="right"/>
    </xf>
    <xf numFmtId="169" fontId="40" fillId="0" borderId="33" xfId="8" applyNumberFormat="1" applyFont="1" applyFill="1" applyBorder="1" applyAlignment="1">
      <alignment horizontal="right"/>
    </xf>
    <xf numFmtId="181" fontId="41" fillId="0" borderId="24" xfId="0" applyNumberFormat="1" applyFont="1" applyBorder="1"/>
    <xf numFmtId="182" fontId="41" fillId="0" borderId="24" xfId="0" applyNumberFormat="1" applyFont="1" applyBorder="1"/>
    <xf numFmtId="169" fontId="40" fillId="0" borderId="23" xfId="8" applyNumberFormat="1" applyFont="1" applyFill="1" applyBorder="1" applyAlignment="1">
      <alignment horizontal="right"/>
    </xf>
    <xf numFmtId="183" fontId="40" fillId="0" borderId="0" xfId="8" applyNumberFormat="1" applyFont="1" applyFill="1" applyBorder="1" applyAlignment="1">
      <alignment horizontal="right"/>
    </xf>
    <xf numFmtId="165" fontId="40" fillId="0" borderId="11" xfId="6" applyNumberFormat="1" applyFont="1" applyBorder="1" applyAlignment="1">
      <alignment horizontal="right"/>
    </xf>
    <xf numFmtId="164" fontId="40" fillId="0" borderId="10" xfId="6" applyNumberFormat="1" applyFont="1" applyBorder="1" applyAlignment="1">
      <alignment horizontal="right"/>
    </xf>
    <xf numFmtId="169" fontId="40" fillId="0" borderId="30" xfId="8" applyNumberFormat="1" applyFont="1" applyFill="1" applyBorder="1" applyAlignment="1">
      <alignment horizontal="right"/>
    </xf>
    <xf numFmtId="169" fontId="0" fillId="0" borderId="0" xfId="0" applyNumberFormat="1"/>
    <xf numFmtId="3" fontId="41" fillId="0" borderId="19" xfId="6" applyNumberFormat="1" applyFont="1" applyBorder="1" applyAlignment="1">
      <alignment horizontal="right"/>
    </xf>
    <xf numFmtId="184" fontId="0" fillId="0" borderId="0" xfId="0" applyNumberFormat="1"/>
    <xf numFmtId="164" fontId="40" fillId="0" borderId="2" xfId="6" applyNumberFormat="1" applyFont="1" applyBorder="1" applyAlignment="1">
      <alignment horizontal="right"/>
    </xf>
    <xf numFmtId="164" fontId="40" fillId="0" borderId="19" xfId="6" applyNumberFormat="1" applyFont="1" applyBorder="1" applyAlignment="1">
      <alignment horizontal="right"/>
    </xf>
    <xf numFmtId="0" fontId="41" fillId="4" borderId="2" xfId="6" applyFont="1" applyFill="1" applyBorder="1" applyAlignment="1">
      <alignment horizontal="left"/>
    </xf>
    <xf numFmtId="180" fontId="41" fillId="4" borderId="2" xfId="6" applyNumberFormat="1" applyFont="1" applyFill="1" applyBorder="1" applyAlignment="1">
      <alignment horizontal="left"/>
    </xf>
    <xf numFmtId="43" fontId="41" fillId="0" borderId="2" xfId="1" applyFont="1" applyFill="1" applyBorder="1"/>
    <xf numFmtId="10" fontId="41" fillId="0" borderId="52" xfId="6" applyNumberFormat="1" applyFont="1" applyBorder="1" applyAlignment="1">
      <alignment horizontal="right"/>
    </xf>
    <xf numFmtId="0" fontId="0" fillId="0" borderId="33" xfId="0" applyBorder="1"/>
    <xf numFmtId="0" fontId="0" fillId="0" borderId="22" xfId="0" applyBorder="1"/>
    <xf numFmtId="10" fontId="41" fillId="0" borderId="22" xfId="6" applyNumberFormat="1" applyFont="1" applyBorder="1" applyAlignment="1">
      <alignment horizontal="right"/>
    </xf>
    <xf numFmtId="169" fontId="41" fillId="0" borderId="24" xfId="2" applyNumberFormat="1" applyFont="1" applyFill="1" applyBorder="1"/>
    <xf numFmtId="169" fontId="40" fillId="0" borderId="25" xfId="8" applyNumberFormat="1" applyFont="1" applyFill="1" applyBorder="1" applyAlignment="1">
      <alignment horizontal="right"/>
    </xf>
    <xf numFmtId="0" fontId="42" fillId="0" borderId="53" xfId="6" applyFont="1" applyBorder="1" applyAlignment="1">
      <alignment horizontal="left"/>
    </xf>
    <xf numFmtId="180" fontId="42" fillId="0" borderId="54" xfId="6" applyNumberFormat="1" applyFont="1" applyBorder="1" applyAlignment="1">
      <alignment horizontal="left"/>
    </xf>
    <xf numFmtId="3" fontId="42" fillId="0" borderId="54" xfId="6" applyNumberFormat="1" applyFont="1" applyBorder="1" applyAlignment="1">
      <alignment horizontal="right"/>
    </xf>
    <xf numFmtId="10" fontId="41" fillId="0" borderId="54" xfId="6" applyNumberFormat="1" applyFont="1" applyBorder="1" applyAlignment="1">
      <alignment horizontal="right"/>
    </xf>
    <xf numFmtId="44" fontId="40" fillId="0" borderId="55" xfId="2" applyFont="1" applyFill="1" applyBorder="1" applyAlignment="1">
      <alignment horizontal="right"/>
    </xf>
    <xf numFmtId="169" fontId="40" fillId="0" borderId="53" xfId="8" applyNumberFormat="1" applyFont="1" applyFill="1" applyBorder="1" applyAlignment="1">
      <alignment horizontal="right"/>
    </xf>
    <xf numFmtId="181" fontId="40" fillId="0" borderId="54" xfId="8" applyNumberFormat="1" applyFont="1" applyFill="1" applyBorder="1" applyAlignment="1">
      <alignment horizontal="right"/>
    </xf>
    <xf numFmtId="169" fontId="40" fillId="0" borderId="54" xfId="8" applyNumberFormat="1" applyFont="1" applyFill="1" applyBorder="1" applyAlignment="1">
      <alignment horizontal="right"/>
    </xf>
    <xf numFmtId="169" fontId="40" fillId="0" borderId="55" xfId="8" applyNumberFormat="1" applyFont="1" applyFill="1" applyBorder="1" applyAlignment="1">
      <alignment horizontal="right"/>
    </xf>
    <xf numFmtId="3" fontId="43" fillId="23" borderId="35" xfId="6" applyNumberFormat="1" applyFont="1" applyFill="1" applyBorder="1" applyAlignment="1">
      <alignment horizontal="right"/>
    </xf>
    <xf numFmtId="10" fontId="41" fillId="23" borderId="35" xfId="6" applyNumberFormat="1" applyFont="1" applyFill="1" applyBorder="1" applyAlignment="1">
      <alignment horizontal="right"/>
    </xf>
    <xf numFmtId="44" fontId="43" fillId="23" borderId="56" xfId="2" applyFont="1" applyFill="1" applyBorder="1" applyAlignment="1">
      <alignment horizontal="right"/>
    </xf>
    <xf numFmtId="169" fontId="40" fillId="23" borderId="48" xfId="8" applyNumberFormat="1" applyFont="1" applyFill="1" applyBorder="1" applyAlignment="1">
      <alignment horizontal="right"/>
    </xf>
    <xf numFmtId="181" fontId="40" fillId="23" borderId="57" xfId="8" applyNumberFormat="1" applyFont="1" applyFill="1" applyBorder="1" applyAlignment="1">
      <alignment horizontal="right"/>
    </xf>
    <xf numFmtId="169" fontId="40" fillId="23" borderId="58" xfId="8" applyNumberFormat="1" applyFont="1" applyFill="1" applyBorder="1" applyAlignment="1">
      <alignment horizontal="right"/>
    </xf>
    <xf numFmtId="169" fontId="40" fillId="23" borderId="59" xfId="8" applyNumberFormat="1" applyFont="1" applyFill="1" applyBorder="1" applyAlignment="1">
      <alignment horizontal="right"/>
    </xf>
    <xf numFmtId="164" fontId="43" fillId="23" borderId="19" xfId="6" applyNumberFormat="1" applyFont="1" applyFill="1" applyBorder="1" applyAlignment="1">
      <alignment horizontal="right"/>
    </xf>
    <xf numFmtId="3" fontId="41" fillId="0" borderId="21" xfId="6" applyNumberFormat="1" applyFont="1" applyBorder="1" applyAlignment="1">
      <alignment horizontal="right"/>
    </xf>
    <xf numFmtId="10" fontId="41" fillId="0" borderId="21" xfId="6" applyNumberFormat="1" applyFont="1" applyBorder="1" applyAlignment="1">
      <alignment horizontal="right"/>
    </xf>
    <xf numFmtId="44" fontId="40" fillId="0" borderId="29" xfId="2" applyFont="1" applyBorder="1" applyAlignment="1">
      <alignment horizontal="right"/>
    </xf>
    <xf numFmtId="169" fontId="42" fillId="0" borderId="28" xfId="8" applyNumberFormat="1" applyFont="1" applyFill="1" applyBorder="1" applyAlignment="1">
      <alignment horizontal="right"/>
    </xf>
    <xf numFmtId="169" fontId="41" fillId="0" borderId="0" xfId="2" applyNumberFormat="1" applyFont="1"/>
    <xf numFmtId="169" fontId="42" fillId="0" borderId="21" xfId="8" applyNumberFormat="1" applyFont="1" applyFill="1" applyBorder="1" applyAlignment="1">
      <alignment horizontal="right"/>
    </xf>
    <xf numFmtId="169" fontId="40" fillId="0" borderId="29" xfId="8" applyNumberFormat="1" applyFont="1" applyFill="1" applyBorder="1" applyAlignment="1">
      <alignment horizontal="right"/>
    </xf>
    <xf numFmtId="0" fontId="42" fillId="24" borderId="31" xfId="6" applyFont="1" applyFill="1" applyBorder="1" applyAlignment="1">
      <alignment horizontal="left"/>
    </xf>
    <xf numFmtId="180" fontId="42" fillId="24" borderId="26" xfId="6" applyNumberFormat="1" applyFont="1" applyFill="1" applyBorder="1" applyAlignment="1">
      <alignment horizontal="left"/>
    </xf>
    <xf numFmtId="3" fontId="42" fillId="0" borderId="26" xfId="6" applyNumberFormat="1" applyFont="1" applyBorder="1" applyAlignment="1">
      <alignment horizontal="right"/>
    </xf>
    <xf numFmtId="10" fontId="41" fillId="0" borderId="26" xfId="6" applyNumberFormat="1" applyFont="1" applyBorder="1" applyAlignment="1">
      <alignment horizontal="right"/>
    </xf>
    <xf numFmtId="44" fontId="40" fillId="0" borderId="32" xfId="2" applyFont="1" applyBorder="1" applyAlignment="1">
      <alignment horizontal="right"/>
    </xf>
    <xf numFmtId="169" fontId="42" fillId="0" borderId="30" xfId="8" applyNumberFormat="1" applyFont="1" applyFill="1" applyBorder="1" applyAlignment="1">
      <alignment horizontal="right"/>
    </xf>
    <xf numFmtId="181" fontId="42" fillId="0" borderId="24" xfId="8" applyNumberFormat="1" applyFont="1" applyFill="1" applyBorder="1" applyAlignment="1">
      <alignment horizontal="right"/>
    </xf>
    <xf numFmtId="169" fontId="42" fillId="0" borderId="37" xfId="8" applyNumberFormat="1" applyFont="1" applyFill="1" applyBorder="1" applyAlignment="1">
      <alignment horizontal="right"/>
    </xf>
    <xf numFmtId="169" fontId="42" fillId="0" borderId="25" xfId="8" applyNumberFormat="1" applyFont="1" applyFill="1" applyBorder="1" applyAlignment="1">
      <alignment horizontal="right"/>
    </xf>
    <xf numFmtId="3" fontId="43" fillId="23" borderId="57" xfId="6" applyNumberFormat="1" applyFont="1" applyFill="1" applyBorder="1" applyAlignment="1">
      <alignment horizontal="right"/>
    </xf>
    <xf numFmtId="10" fontId="43" fillId="23" borderId="57" xfId="3" applyNumberFormat="1" applyFont="1" applyFill="1" applyBorder="1" applyAlignment="1">
      <alignment horizontal="right"/>
    </xf>
    <xf numFmtId="44" fontId="43" fillId="23" borderId="59" xfId="2" applyFont="1" applyFill="1" applyBorder="1" applyAlignment="1">
      <alignment horizontal="right"/>
    </xf>
    <xf numFmtId="169" fontId="40" fillId="23" borderId="53" xfId="8" applyNumberFormat="1" applyFont="1" applyFill="1" applyBorder="1" applyAlignment="1">
      <alignment horizontal="right"/>
    </xf>
    <xf numFmtId="181" fontId="40" fillId="23" borderId="24" xfId="8" applyNumberFormat="1" applyFont="1" applyFill="1" applyBorder="1" applyAlignment="1">
      <alignment horizontal="right"/>
    </xf>
    <xf numFmtId="169" fontId="40" fillId="23" borderId="60" xfId="8" applyNumberFormat="1" applyFont="1" applyFill="1" applyBorder="1" applyAlignment="1">
      <alignment horizontal="right"/>
    </xf>
    <xf numFmtId="169" fontId="40" fillId="23" borderId="55" xfId="8" applyNumberFormat="1" applyFont="1" applyFill="1" applyBorder="1" applyAlignment="1">
      <alignment horizontal="right"/>
    </xf>
    <xf numFmtId="0" fontId="37" fillId="22" borderId="34" xfId="6" applyFont="1" applyFill="1" applyBorder="1" applyAlignment="1">
      <alignment horizontal="left" vertical="center"/>
    </xf>
    <xf numFmtId="4" fontId="37" fillId="22" borderId="35" xfId="6" applyNumberFormat="1" applyFont="1" applyFill="1" applyBorder="1" applyAlignment="1">
      <alignment vertical="center"/>
    </xf>
    <xf numFmtId="3" fontId="44" fillId="25" borderId="35" xfId="6" applyNumberFormat="1" applyFont="1" applyFill="1" applyBorder="1" applyAlignment="1">
      <alignment horizontal="right" vertical="center"/>
    </xf>
    <xf numFmtId="10" fontId="44" fillId="25" borderId="35" xfId="3" applyNumberFormat="1" applyFont="1" applyFill="1" applyBorder="1" applyAlignment="1">
      <alignment horizontal="right" vertical="center"/>
    </xf>
    <xf numFmtId="44" fontId="44" fillId="25" borderId="56" xfId="2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9" fontId="44" fillId="22" borderId="61" xfId="8" applyNumberFormat="1" applyFont="1" applyFill="1" applyBorder="1" applyAlignment="1">
      <alignment horizontal="right" vertical="center"/>
    </xf>
    <xf numFmtId="181" fontId="44" fillId="22" borderId="61" xfId="8" applyNumberFormat="1" applyFont="1" applyFill="1" applyBorder="1" applyAlignment="1">
      <alignment horizontal="right" vertical="center"/>
    </xf>
    <xf numFmtId="169" fontId="44" fillId="22" borderId="49" xfId="8" applyNumberFormat="1" applyFont="1" applyFill="1" applyBorder="1" applyAlignment="1">
      <alignment horizontal="right" vertical="center"/>
    </xf>
    <xf numFmtId="183" fontId="40" fillId="0" borderId="0" xfId="8" applyNumberFormat="1" applyFont="1" applyFill="1" applyBorder="1" applyAlignment="1">
      <alignment horizontal="right" vertical="center"/>
    </xf>
    <xf numFmtId="164" fontId="37" fillId="22" borderId="19" xfId="6" applyNumberFormat="1" applyFont="1" applyFill="1" applyBorder="1" applyAlignment="1">
      <alignment horizontal="right" vertical="center"/>
    </xf>
    <xf numFmtId="43" fontId="0" fillId="0" borderId="0" xfId="1" applyFont="1"/>
    <xf numFmtId="43" fontId="45" fillId="0" borderId="0" xfId="1" applyFont="1"/>
    <xf numFmtId="44" fontId="2" fillId="0" borderId="0" xfId="2" applyFont="1"/>
    <xf numFmtId="0" fontId="40" fillId="0" borderId="0" xfId="6" applyFont="1" applyAlignment="1">
      <alignment horizontal="center"/>
    </xf>
    <xf numFmtId="44" fontId="40" fillId="0" borderId="0" xfId="2" quotePrefix="1" applyFont="1" applyBorder="1" applyAlignment="1">
      <alignment horizontal="center"/>
    </xf>
    <xf numFmtId="169" fontId="40" fillId="22" borderId="4" xfId="8" applyNumberFormat="1" applyFont="1" applyFill="1" applyBorder="1" applyAlignment="1">
      <alignment horizontal="right"/>
    </xf>
    <xf numFmtId="169" fontId="37" fillId="22" borderId="5" xfId="8" applyNumberFormat="1" applyFont="1" applyFill="1" applyBorder="1" applyAlignment="1">
      <alignment horizontal="right"/>
    </xf>
    <xf numFmtId="169" fontId="40" fillId="22" borderId="6" xfId="8" applyNumberFormat="1" applyFont="1" applyFill="1" applyBorder="1" applyAlignment="1">
      <alignment horizontal="right"/>
    </xf>
    <xf numFmtId="0" fontId="40" fillId="0" borderId="0" xfId="6" applyFont="1" applyAlignment="1">
      <alignment horizontal="left" wrapText="1"/>
    </xf>
    <xf numFmtId="14" fontId="46" fillId="0" borderId="0" xfId="6" applyNumberFormat="1" applyFont="1"/>
    <xf numFmtId="44" fontId="39" fillId="0" borderId="0" xfId="2" applyFont="1"/>
    <xf numFmtId="0" fontId="39" fillId="0" borderId="0" xfId="6" applyFont="1" applyAlignment="1">
      <alignment horizontal="right"/>
    </xf>
    <xf numFmtId="183" fontId="39" fillId="0" borderId="0" xfId="6" applyNumberFormat="1" applyFont="1"/>
    <xf numFmtId="178" fontId="38" fillId="22" borderId="2" xfId="6" applyNumberFormat="1" applyFont="1" applyFill="1" applyBorder="1"/>
    <xf numFmtId="178" fontId="37" fillId="22" borderId="50" xfId="6" applyNumberFormat="1" applyFont="1" applyFill="1" applyBorder="1" applyAlignment="1">
      <alignment horizontal="center"/>
    </xf>
    <xf numFmtId="183" fontId="0" fillId="0" borderId="0" xfId="0" applyNumberFormat="1"/>
    <xf numFmtId="178" fontId="37" fillId="22" borderId="3" xfId="6" applyNumberFormat="1" applyFont="1" applyFill="1" applyBorder="1" applyAlignment="1">
      <alignment horizontal="center"/>
    </xf>
    <xf numFmtId="0" fontId="42" fillId="24" borderId="11" xfId="6" applyFont="1" applyFill="1" applyBorder="1" applyAlignment="1">
      <alignment horizontal="left"/>
    </xf>
    <xf numFmtId="180" fontId="42" fillId="24" borderId="62" xfId="6" applyNumberFormat="1" applyFont="1" applyFill="1" applyBorder="1" applyAlignment="1">
      <alignment horizontal="left"/>
    </xf>
    <xf numFmtId="3" fontId="42" fillId="0" borderId="22" xfId="6" applyNumberFormat="1" applyFont="1" applyBorder="1" applyAlignment="1">
      <alignment horizontal="right"/>
    </xf>
    <xf numFmtId="169" fontId="42" fillId="0" borderId="33" xfId="8" applyNumberFormat="1" applyFont="1" applyFill="1" applyBorder="1" applyAlignment="1">
      <alignment horizontal="right"/>
    </xf>
    <xf numFmtId="169" fontId="42" fillId="0" borderId="22" xfId="8" applyNumberFormat="1" applyFont="1" applyFill="1" applyBorder="1" applyAlignment="1">
      <alignment horizontal="right"/>
    </xf>
    <xf numFmtId="169" fontId="42" fillId="0" borderId="63" xfId="8" applyNumberFormat="1" applyFont="1" applyFill="1" applyBorder="1" applyAlignment="1">
      <alignment horizontal="right"/>
    </xf>
    <xf numFmtId="169" fontId="42" fillId="0" borderId="23" xfId="8" applyNumberFormat="1" applyFont="1" applyFill="1" applyBorder="1" applyAlignment="1">
      <alignment horizontal="right"/>
    </xf>
    <xf numFmtId="165" fontId="40" fillId="0" borderId="10" xfId="6" applyNumberFormat="1" applyFont="1" applyBorder="1" applyAlignment="1">
      <alignment horizontal="right"/>
    </xf>
    <xf numFmtId="0" fontId="42" fillId="24" borderId="13" xfId="6" applyFont="1" applyFill="1" applyBorder="1" applyAlignment="1">
      <alignment horizontal="left"/>
    </xf>
    <xf numFmtId="180" fontId="42" fillId="24" borderId="64" xfId="6" applyNumberFormat="1" applyFont="1" applyFill="1" applyBorder="1" applyAlignment="1">
      <alignment horizontal="left"/>
    </xf>
    <xf numFmtId="3" fontId="42" fillId="0" borderId="24" xfId="6" applyNumberFormat="1" applyFont="1" applyBorder="1" applyAlignment="1">
      <alignment horizontal="right"/>
    </xf>
    <xf numFmtId="10" fontId="41" fillId="0" borderId="24" xfId="6" applyNumberFormat="1" applyFont="1" applyBorder="1" applyAlignment="1">
      <alignment horizontal="right"/>
    </xf>
    <xf numFmtId="44" fontId="40" fillId="0" borderId="25" xfId="2" applyFont="1" applyBorder="1" applyAlignment="1">
      <alignment horizontal="right"/>
    </xf>
    <xf numFmtId="169" fontId="42" fillId="0" borderId="24" xfId="8" applyNumberFormat="1" applyFont="1" applyFill="1" applyBorder="1" applyAlignment="1">
      <alignment horizontal="right"/>
    </xf>
    <xf numFmtId="165" fontId="40" fillId="0" borderId="12" xfId="6" applyNumberFormat="1" applyFont="1" applyBorder="1" applyAlignment="1">
      <alignment horizontal="right"/>
    </xf>
    <xf numFmtId="164" fontId="40" fillId="0" borderId="12" xfId="6" applyNumberFormat="1" applyFont="1" applyBorder="1" applyAlignment="1">
      <alignment horizontal="right"/>
    </xf>
    <xf numFmtId="3" fontId="43" fillId="26" borderId="57" xfId="6" applyNumberFormat="1" applyFont="1" applyFill="1" applyBorder="1" applyAlignment="1">
      <alignment horizontal="right"/>
    </xf>
    <xf numFmtId="10" fontId="41" fillId="26" borderId="54" xfId="6" applyNumberFormat="1" applyFont="1" applyFill="1" applyBorder="1" applyAlignment="1">
      <alignment horizontal="right"/>
    </xf>
    <xf numFmtId="44" fontId="43" fillId="26" borderId="59" xfId="2" applyFont="1" applyFill="1" applyBorder="1" applyAlignment="1">
      <alignment horizontal="right"/>
    </xf>
    <xf numFmtId="169" fontId="40" fillId="26" borderId="30" xfId="8" applyNumberFormat="1" applyFont="1" applyFill="1" applyBorder="1" applyAlignment="1">
      <alignment horizontal="right"/>
    </xf>
    <xf numFmtId="169" fontId="40" fillId="23" borderId="24" xfId="8" applyNumberFormat="1" applyFont="1" applyFill="1" applyBorder="1" applyAlignment="1">
      <alignment horizontal="right"/>
    </xf>
    <xf numFmtId="165" fontId="40" fillId="26" borderId="12" xfId="6" applyNumberFormat="1" applyFont="1" applyFill="1" applyBorder="1" applyAlignment="1">
      <alignment horizontal="right"/>
    </xf>
    <xf numFmtId="164" fontId="43" fillId="23" borderId="12" xfId="6" applyNumberFormat="1" applyFont="1" applyFill="1" applyBorder="1" applyAlignment="1">
      <alignment horizontal="right"/>
    </xf>
    <xf numFmtId="0" fontId="37" fillId="22" borderId="16" xfId="6" applyFont="1" applyFill="1" applyBorder="1" applyAlignment="1">
      <alignment horizontal="left" vertical="center"/>
    </xf>
    <xf numFmtId="4" fontId="37" fillId="22" borderId="48" xfId="6" applyNumberFormat="1" applyFont="1" applyFill="1" applyBorder="1" applyAlignment="1">
      <alignment horizontal="left" vertical="center"/>
    </xf>
    <xf numFmtId="3" fontId="44" fillId="25" borderId="57" xfId="6" applyNumberFormat="1" applyFont="1" applyFill="1" applyBorder="1" applyAlignment="1">
      <alignment horizontal="right" vertical="center"/>
    </xf>
    <xf numFmtId="10" fontId="44" fillId="25" borderId="21" xfId="6" applyNumberFormat="1" applyFont="1" applyFill="1" applyBorder="1" applyAlignment="1">
      <alignment horizontal="right" vertical="center"/>
    </xf>
    <xf numFmtId="44" fontId="44" fillId="25" borderId="59" xfId="2" applyFont="1" applyFill="1" applyBorder="1" applyAlignment="1">
      <alignment horizontal="right" vertical="center"/>
    </xf>
    <xf numFmtId="169" fontId="40" fillId="22" borderId="53" xfId="8" applyNumberFormat="1" applyFont="1" applyFill="1" applyBorder="1" applyAlignment="1">
      <alignment horizontal="right" vertical="center"/>
    </xf>
    <xf numFmtId="183" fontId="0" fillId="0" borderId="0" xfId="0" applyNumberFormat="1" applyAlignment="1">
      <alignment vertical="center"/>
    </xf>
    <xf numFmtId="165" fontId="37" fillId="22" borderId="15" xfId="6" applyNumberFormat="1" applyFont="1" applyFill="1" applyBorder="1" applyAlignment="1">
      <alignment horizontal="right" vertical="center"/>
    </xf>
    <xf numFmtId="164" fontId="37" fillId="22" borderId="15" xfId="6" applyNumberFormat="1" applyFont="1" applyFill="1" applyBorder="1" applyAlignment="1">
      <alignment horizontal="right" vertical="center"/>
    </xf>
    <xf numFmtId="0" fontId="37" fillId="0" borderId="0" xfId="6" applyFont="1" applyAlignment="1">
      <alignment horizontal="left"/>
    </xf>
    <xf numFmtId="4" fontId="37" fillId="0" borderId="0" xfId="6" applyNumberFormat="1" applyFont="1" applyAlignment="1">
      <alignment horizontal="left"/>
    </xf>
    <xf numFmtId="3" fontId="40" fillId="0" borderId="0" xfId="6" applyNumberFormat="1" applyFont="1" applyAlignment="1">
      <alignment horizontal="right"/>
    </xf>
    <xf numFmtId="44" fontId="40" fillId="0" borderId="0" xfId="2" applyFont="1" applyBorder="1" applyAlignment="1">
      <alignment horizontal="right"/>
    </xf>
    <xf numFmtId="165" fontId="43" fillId="0" borderId="0" xfId="6" applyNumberFormat="1" applyFont="1" applyAlignment="1">
      <alignment horizontal="right"/>
    </xf>
    <xf numFmtId="165" fontId="40" fillId="0" borderId="0" xfId="6" applyNumberFormat="1" applyFont="1" applyAlignment="1">
      <alignment horizontal="right"/>
    </xf>
    <xf numFmtId="3" fontId="37" fillId="22" borderId="49" xfId="6" applyNumberFormat="1" applyFont="1" applyFill="1" applyBorder="1" applyAlignment="1">
      <alignment horizontal="left"/>
    </xf>
    <xf numFmtId="4" fontId="37" fillId="22" borderId="41" xfId="6" applyNumberFormat="1" applyFont="1" applyFill="1" applyBorder="1" applyAlignment="1">
      <alignment horizontal="left"/>
    </xf>
    <xf numFmtId="4" fontId="37" fillId="22" borderId="51" xfId="6" applyNumberFormat="1" applyFont="1" applyFill="1" applyBorder="1" applyAlignment="1">
      <alignment horizontal="left"/>
    </xf>
    <xf numFmtId="4" fontId="40" fillId="0" borderId="0" xfId="6" applyNumberFormat="1" applyFont="1" applyAlignment="1">
      <alignment horizontal="left"/>
    </xf>
    <xf numFmtId="0" fontId="0" fillId="0" borderId="65" xfId="0" applyBorder="1"/>
    <xf numFmtId="0" fontId="42" fillId="24" borderId="30" xfId="6" applyFont="1" applyFill="1" applyBorder="1" applyAlignment="1">
      <alignment horizontal="left"/>
    </xf>
    <xf numFmtId="180" fontId="42" fillId="24" borderId="24" xfId="6" applyNumberFormat="1" applyFont="1" applyFill="1" applyBorder="1" applyAlignment="1">
      <alignment horizontal="left"/>
    </xf>
    <xf numFmtId="3" fontId="46" fillId="0" borderId="24" xfId="6" applyNumberFormat="1" applyFont="1" applyBorder="1" applyAlignment="1">
      <alignment horizontal="right"/>
    </xf>
    <xf numFmtId="44" fontId="39" fillId="0" borderId="25" xfId="2" applyFont="1" applyBorder="1" applyAlignment="1">
      <alignment horizontal="right"/>
    </xf>
    <xf numFmtId="167" fontId="17" fillId="0" borderId="24" xfId="9" applyNumberFormat="1" applyFont="1" applyFill="1" applyBorder="1" applyAlignment="1"/>
    <xf numFmtId="3" fontId="47" fillId="0" borderId="24" xfId="6" applyNumberFormat="1" applyFont="1" applyBorder="1" applyAlignment="1">
      <alignment horizontal="right"/>
    </xf>
    <xf numFmtId="0" fontId="39" fillId="0" borderId="0" xfId="0" applyFont="1"/>
    <xf numFmtId="167" fontId="48" fillId="0" borderId="24" xfId="1" applyNumberFormat="1" applyFont="1" applyBorder="1"/>
    <xf numFmtId="0" fontId="43" fillId="26" borderId="30" xfId="6" quotePrefix="1" applyFont="1" applyFill="1" applyBorder="1" applyAlignment="1">
      <alignment horizontal="left"/>
    </xf>
    <xf numFmtId="0" fontId="43" fillId="26" borderId="24" xfId="6" applyFont="1" applyFill="1" applyBorder="1" applyAlignment="1">
      <alignment horizontal="left"/>
    </xf>
    <xf numFmtId="3" fontId="43" fillId="26" borderId="24" xfId="6" applyNumberFormat="1" applyFont="1" applyFill="1" applyBorder="1" applyAlignment="1">
      <alignment horizontal="right"/>
    </xf>
    <xf numFmtId="10" fontId="43" fillId="26" borderId="24" xfId="3" applyNumberFormat="1" applyFont="1" applyFill="1" applyBorder="1" applyAlignment="1">
      <alignment horizontal="right"/>
    </xf>
    <xf numFmtId="44" fontId="43" fillId="26" borderId="25" xfId="2" applyFont="1" applyFill="1" applyBorder="1" applyAlignment="1">
      <alignment horizontal="right"/>
    </xf>
    <xf numFmtId="0" fontId="37" fillId="22" borderId="53" xfId="6" applyFont="1" applyFill="1" applyBorder="1" applyAlignment="1">
      <alignment horizontal="left" vertical="center"/>
    </xf>
    <xf numFmtId="4" fontId="37" fillId="22" borderId="54" xfId="6" applyNumberFormat="1" applyFont="1" applyFill="1" applyBorder="1" applyAlignment="1">
      <alignment horizontal="left" vertical="center"/>
    </xf>
    <xf numFmtId="3" fontId="44" fillId="25" borderId="54" xfId="6" applyNumberFormat="1" applyFont="1" applyFill="1" applyBorder="1" applyAlignment="1">
      <alignment horizontal="right" vertical="center"/>
    </xf>
    <xf numFmtId="10" fontId="44" fillId="25" borderId="54" xfId="3" applyNumberFormat="1" applyFont="1" applyFill="1" applyBorder="1" applyAlignment="1">
      <alignment horizontal="right" vertical="center"/>
    </xf>
    <xf numFmtId="44" fontId="44" fillId="25" borderId="55" xfId="2" applyFont="1" applyFill="1" applyBorder="1" applyAlignment="1">
      <alignment horizontal="right" vertical="center"/>
    </xf>
    <xf numFmtId="0" fontId="37" fillId="0" borderId="0" xfId="6" applyFont="1" applyAlignment="1">
      <alignment horizontal="left" vertical="center"/>
    </xf>
    <xf numFmtId="4" fontId="37" fillId="0" borderId="0" xfId="6" applyNumberFormat="1" applyFont="1" applyAlignment="1">
      <alignment horizontal="left" vertical="center"/>
    </xf>
    <xf numFmtId="3" fontId="44" fillId="0" borderId="0" xfId="6" applyNumberFormat="1" applyFont="1" applyAlignment="1">
      <alignment horizontal="right" vertical="center"/>
    </xf>
    <xf numFmtId="10" fontId="44" fillId="0" borderId="0" xfId="6" applyNumberFormat="1" applyFont="1" applyAlignment="1">
      <alignment horizontal="right" vertical="center"/>
    </xf>
    <xf numFmtId="44" fontId="44" fillId="0" borderId="0" xfId="2" applyFont="1" applyFill="1" applyBorder="1" applyAlignment="1">
      <alignment horizontal="right" vertical="center"/>
    </xf>
    <xf numFmtId="169" fontId="40" fillId="0" borderId="0" xfId="8" applyNumberFormat="1" applyFont="1" applyFill="1" applyBorder="1" applyAlignment="1">
      <alignment horizontal="right" vertical="center"/>
    </xf>
    <xf numFmtId="169" fontId="44" fillId="0" borderId="0" xfId="8" applyNumberFormat="1" applyFont="1" applyFill="1" applyBorder="1" applyAlignment="1">
      <alignment horizontal="right" vertical="center"/>
    </xf>
    <xf numFmtId="165" fontId="37" fillId="0" borderId="0" xfId="6" applyNumberFormat="1" applyFont="1" applyAlignment="1">
      <alignment horizontal="right" vertical="center"/>
    </xf>
    <xf numFmtId="44" fontId="49" fillId="0" borderId="0" xfId="0" applyNumberFormat="1" applyFont="1"/>
    <xf numFmtId="44" fontId="49" fillId="0" borderId="1" xfId="4" applyNumberFormat="1" applyFont="1" applyFill="1"/>
    <xf numFmtId="10" fontId="41" fillId="26" borderId="24" xfId="6" applyNumberFormat="1" applyFont="1" applyFill="1" applyBorder="1" applyAlignment="1">
      <alignment horizontal="right"/>
    </xf>
    <xf numFmtId="10" fontId="44" fillId="25" borderId="24" xfId="6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41" fillId="0" borderId="0" xfId="0" applyFont="1" applyAlignment="1">
      <alignment vertical="center"/>
    </xf>
    <xf numFmtId="3" fontId="44" fillId="27" borderId="0" xfId="0" applyNumberFormat="1" applyFont="1" applyFill="1" applyAlignment="1">
      <alignment vertical="center"/>
    </xf>
    <xf numFmtId="10" fontId="44" fillId="27" borderId="24" xfId="6" applyNumberFormat="1" applyFont="1" applyFill="1" applyBorder="1" applyAlignment="1">
      <alignment horizontal="right" vertical="center"/>
    </xf>
    <xf numFmtId="44" fontId="44" fillId="27" borderId="0" xfId="2" applyFont="1" applyFill="1" applyAlignment="1">
      <alignment vertical="center"/>
    </xf>
    <xf numFmtId="169" fontId="44" fillId="27" borderId="0" xfId="2" applyNumberFormat="1" applyFont="1" applyFill="1" applyAlignment="1">
      <alignment vertical="center"/>
    </xf>
    <xf numFmtId="169" fontId="44" fillId="27" borderId="0" xfId="2" applyNumberFormat="1" applyFont="1" applyFill="1" applyAlignment="1">
      <alignment horizontal="right" vertical="center"/>
    </xf>
    <xf numFmtId="184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173" fontId="50" fillId="0" borderId="0" xfId="0" applyNumberFormat="1" applyFont="1" applyAlignment="1">
      <alignment vertical="center"/>
    </xf>
    <xf numFmtId="0" fontId="50" fillId="0" borderId="0" xfId="0" applyFont="1"/>
    <xf numFmtId="172" fontId="50" fillId="0" borderId="0" xfId="0" applyNumberFormat="1" applyFont="1"/>
    <xf numFmtId="183" fontId="50" fillId="0" borderId="0" xfId="0" applyNumberFormat="1" applyFont="1" applyAlignment="1">
      <alignment horizontal="right"/>
    </xf>
    <xf numFmtId="183" fontId="50" fillId="0" borderId="0" xfId="0" applyNumberFormat="1" applyFont="1"/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41" fillId="0" borderId="0" xfId="0" applyFont="1" applyAlignment="1">
      <alignment horizontal="center"/>
    </xf>
    <xf numFmtId="185" fontId="0" fillId="0" borderId="0" xfId="1" applyNumberFormat="1" applyFont="1" applyBorder="1" applyAlignment="1">
      <alignment horizontal="center"/>
    </xf>
    <xf numFmtId="44" fontId="0" fillId="0" borderId="0" xfId="2" applyFont="1" applyBorder="1" applyAlignment="1">
      <alignment horizontal="center"/>
    </xf>
    <xf numFmtId="166" fontId="41" fillId="3" borderId="2" xfId="5" applyNumberFormat="1" applyFont="1" applyBorder="1" applyAlignment="1">
      <alignment horizontal="center"/>
    </xf>
    <xf numFmtId="167" fontId="41" fillId="3" borderId="66" xfId="5" applyNumberFormat="1" applyFont="1" applyBorder="1" applyAlignment="1">
      <alignment horizontal="center"/>
    </xf>
    <xf numFmtId="10" fontId="41" fillId="3" borderId="67" xfId="5" applyNumberFormat="1" applyFont="1" applyBorder="1" applyAlignment="1">
      <alignment horizontal="center"/>
    </xf>
    <xf numFmtId="168" fontId="41" fillId="3" borderId="2" xfId="5" applyNumberFormat="1" applyFont="1" applyBorder="1" applyAlignment="1">
      <alignment horizontal="center"/>
    </xf>
    <xf numFmtId="0" fontId="41" fillId="3" borderId="2" xfId="5" quotePrefix="1" applyFont="1" applyBorder="1"/>
    <xf numFmtId="166" fontId="41" fillId="3" borderId="2" xfId="5" applyNumberFormat="1" applyFont="1" applyBorder="1"/>
    <xf numFmtId="167" fontId="41" fillId="3" borderId="2" xfId="5" applyNumberFormat="1" applyFont="1" applyBorder="1"/>
    <xf numFmtId="10" fontId="41" fillId="3" borderId="9" xfId="5" applyNumberFormat="1" applyFont="1" applyBorder="1"/>
    <xf numFmtId="169" fontId="41" fillId="3" borderId="2" xfId="5" applyNumberFormat="1" applyFont="1" applyBorder="1"/>
    <xf numFmtId="0" fontId="51" fillId="0" borderId="12" xfId="6" applyFont="1" applyBorder="1" applyAlignment="1">
      <alignment horizontal="left"/>
    </xf>
    <xf numFmtId="167" fontId="52" fillId="0" borderId="68" xfId="4" applyNumberFormat="1" applyFont="1" applyFill="1" applyBorder="1"/>
    <xf numFmtId="185" fontId="53" fillId="0" borderId="10" xfId="1" applyNumberFormat="1" applyFont="1" applyBorder="1" applyAlignment="1">
      <alignment horizontal="center"/>
    </xf>
    <xf numFmtId="10" fontId="21" fillId="0" borderId="69" xfId="6" applyNumberFormat="1" applyFont="1" applyBorder="1"/>
    <xf numFmtId="168" fontId="51" fillId="0" borderId="10" xfId="2" applyNumberFormat="1" applyFont="1" applyFill="1" applyBorder="1"/>
    <xf numFmtId="166" fontId="54" fillId="0" borderId="13" xfId="6" applyNumberFormat="1" applyFont="1" applyBorder="1" applyAlignment="1">
      <alignment horizontal="center"/>
    </xf>
    <xf numFmtId="185" fontId="53" fillId="0" borderId="12" xfId="1" applyNumberFormat="1" applyFont="1" applyBorder="1" applyAlignment="1">
      <alignment horizontal="center"/>
    </xf>
    <xf numFmtId="10" fontId="21" fillId="0" borderId="38" xfId="6" applyNumberFormat="1" applyFont="1" applyBorder="1"/>
    <xf numFmtId="166" fontId="48" fillId="0" borderId="16" xfId="6" applyNumberFormat="1" applyFont="1" applyBorder="1"/>
    <xf numFmtId="167" fontId="48" fillId="0" borderId="15" xfId="1" applyNumberFormat="1" applyFont="1" applyFill="1" applyBorder="1"/>
    <xf numFmtId="10" fontId="21" fillId="0" borderId="44" xfId="6" applyNumberFormat="1" applyFont="1" applyBorder="1"/>
    <xf numFmtId="0" fontId="41" fillId="3" borderId="3" xfId="5" quotePrefix="1" applyFont="1" applyBorder="1"/>
    <xf numFmtId="166" fontId="41" fillId="3" borderId="3" xfId="5" applyNumberFormat="1" applyFont="1" applyBorder="1"/>
    <xf numFmtId="167" fontId="41" fillId="3" borderId="3" xfId="5" applyNumberFormat="1" applyFont="1" applyBorder="1"/>
    <xf numFmtId="10" fontId="41" fillId="3" borderId="17" xfId="5" applyNumberFormat="1" applyFont="1" applyBorder="1"/>
    <xf numFmtId="169" fontId="49" fillId="3" borderId="3" xfId="5" applyNumberFormat="1" applyFont="1" applyBorder="1"/>
    <xf numFmtId="43" fontId="41" fillId="0" borderId="0" xfId="1" applyFont="1" applyBorder="1" applyAlignment="1">
      <alignment horizontal="center"/>
    </xf>
    <xf numFmtId="44" fontId="41" fillId="0" borderId="0" xfId="0" applyNumberFormat="1" applyFont="1" applyAlignment="1">
      <alignment horizontal="center"/>
    </xf>
    <xf numFmtId="166" fontId="54" fillId="0" borderId="14" xfId="6" applyNumberFormat="1" applyFont="1" applyBorder="1" applyAlignment="1">
      <alignment horizontal="center"/>
    </xf>
    <xf numFmtId="185" fontId="54" fillId="0" borderId="14" xfId="1" applyNumberFormat="1" applyFont="1" applyFill="1" applyBorder="1" applyAlignment="1">
      <alignment horizontal="center"/>
    </xf>
    <xf numFmtId="10" fontId="21" fillId="0" borderId="27" xfId="6" applyNumberFormat="1" applyFont="1" applyBorder="1"/>
    <xf numFmtId="168" fontId="16" fillId="0" borderId="20" xfId="2" applyNumberFormat="1" applyFont="1" applyFill="1" applyBorder="1"/>
    <xf numFmtId="0" fontId="41" fillId="0" borderId="70" xfId="0" applyFont="1" applyBorder="1" applyAlignment="1">
      <alignment horizontal="center"/>
    </xf>
    <xf numFmtId="185" fontId="0" fillId="0" borderId="70" xfId="1" applyNumberFormat="1" applyFont="1" applyBorder="1"/>
    <xf numFmtId="183" fontId="0" fillId="0" borderId="70" xfId="2" applyNumberFormat="1" applyFont="1" applyBorder="1" applyAlignment="1">
      <alignment horizontal="center"/>
    </xf>
    <xf numFmtId="0" fontId="41" fillId="3" borderId="19" xfId="5" quotePrefix="1" applyFont="1" applyBorder="1"/>
    <xf numFmtId="166" fontId="41" fillId="3" borderId="19" xfId="5" applyNumberFormat="1" applyFont="1" applyBorder="1"/>
    <xf numFmtId="167" fontId="41" fillId="3" borderId="19" xfId="5" applyNumberFormat="1" applyFont="1" applyBorder="1"/>
    <xf numFmtId="10" fontId="41" fillId="3" borderId="4" xfId="5" applyNumberFormat="1" applyFont="1" applyBorder="1"/>
    <xf numFmtId="168" fontId="49" fillId="3" borderId="20" xfId="5" applyNumberFormat="1" applyFont="1" applyBorder="1"/>
    <xf numFmtId="0" fontId="41" fillId="0" borderId="0" xfId="0" applyFont="1"/>
    <xf numFmtId="43" fontId="41" fillId="0" borderId="0" xfId="0" applyNumberFormat="1" applyFont="1"/>
    <xf numFmtId="44" fontId="41" fillId="0" borderId="0" xfId="0" applyNumberFormat="1" applyFont="1"/>
    <xf numFmtId="0" fontId="41" fillId="3" borderId="19" xfId="5" quotePrefix="1" applyFont="1" applyBorder="1" applyAlignment="1">
      <alignment vertical="center"/>
    </xf>
    <xf numFmtId="166" fontId="41" fillId="3" borderId="19" xfId="5" applyNumberFormat="1" applyFont="1" applyBorder="1" applyAlignment="1">
      <alignment vertical="center"/>
    </xf>
    <xf numFmtId="167" fontId="41" fillId="3" borderId="19" xfId="5" applyNumberFormat="1" applyFont="1" applyBorder="1" applyAlignment="1">
      <alignment vertical="center"/>
    </xf>
    <xf numFmtId="10" fontId="41" fillId="3" borderId="4" xfId="5" applyNumberFormat="1" applyFont="1" applyBorder="1" applyAlignment="1">
      <alignment vertical="center"/>
    </xf>
    <xf numFmtId="169" fontId="41" fillId="3" borderId="19" xfId="5" applyNumberFormat="1" applyFont="1" applyBorder="1" applyAlignment="1">
      <alignment vertical="center"/>
    </xf>
    <xf numFmtId="0" fontId="41" fillId="3" borderId="4" xfId="5" applyFont="1" applyBorder="1"/>
    <xf numFmtId="0" fontId="0" fillId="0" borderId="57" xfId="0" applyBorder="1"/>
    <xf numFmtId="43" fontId="41" fillId="0" borderId="57" xfId="1" applyFont="1" applyBorder="1"/>
    <xf numFmtId="0" fontId="0" fillId="0" borderId="59" xfId="0" applyBorder="1"/>
    <xf numFmtId="0" fontId="41" fillId="3" borderId="4" xfId="5" quotePrefix="1" applyFont="1" applyBorder="1" applyAlignment="1">
      <alignment vertical="center"/>
    </xf>
    <xf numFmtId="0" fontId="0" fillId="0" borderId="48" xfId="0" applyBorder="1"/>
    <xf numFmtId="170" fontId="49" fillId="0" borderId="57" xfId="0" applyNumberFormat="1" applyFont="1" applyBorder="1"/>
    <xf numFmtId="0" fontId="55" fillId="0" borderId="0" xfId="0" applyFont="1"/>
    <xf numFmtId="0" fontId="11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164" fontId="57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72" fontId="58" fillId="0" borderId="0" xfId="0" applyNumberFormat="1" applyFont="1" applyAlignment="1">
      <alignment horizontal="center" vertical="center"/>
    </xf>
    <xf numFmtId="164" fontId="58" fillId="0" borderId="0" xfId="0" applyNumberFormat="1" applyFont="1" applyAlignment="1">
      <alignment horizontal="center" vertical="center"/>
    </xf>
    <xf numFmtId="164" fontId="32" fillId="28" borderId="0" xfId="0" applyNumberFormat="1" applyFont="1" applyFill="1" applyAlignment="1">
      <alignment horizontal="center" vertical="center"/>
    </xf>
    <xf numFmtId="164" fontId="32" fillId="29" borderId="0" xfId="0" applyNumberFormat="1" applyFont="1" applyFill="1" applyAlignment="1">
      <alignment horizontal="center" vertical="center"/>
    </xf>
    <xf numFmtId="164" fontId="32" fillId="3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55" fillId="0" borderId="0" xfId="0" applyNumberFormat="1" applyFont="1"/>
    <xf numFmtId="187" fontId="55" fillId="0" borderId="0" xfId="0" applyNumberFormat="1" applyFont="1"/>
    <xf numFmtId="187" fontId="59" fillId="0" borderId="0" xfId="0" applyNumberFormat="1" applyFont="1" applyAlignment="1">
      <alignment horizontal="center" vertical="center"/>
    </xf>
    <xf numFmtId="187" fontId="60" fillId="0" borderId="0" xfId="0" applyNumberFormat="1" applyFont="1" applyAlignment="1">
      <alignment horizontal="center" vertical="center"/>
    </xf>
    <xf numFmtId="0" fontId="61" fillId="31" borderId="0" xfId="0" applyFont="1" applyFill="1" applyAlignment="1">
      <alignment horizontal="center" vertical="center"/>
    </xf>
    <xf numFmtId="2" fontId="63" fillId="0" borderId="0" xfId="10" applyNumberFormat="1" applyFont="1" applyAlignment="1">
      <alignment horizontal="center" vertical="top"/>
    </xf>
    <xf numFmtId="187" fontId="64" fillId="0" borderId="0" xfId="10" applyNumberFormat="1" applyFont="1" applyAlignment="1">
      <alignment horizontal="right" vertical="top"/>
    </xf>
    <xf numFmtId="187" fontId="64" fillId="0" borderId="0" xfId="0" applyNumberFormat="1" applyFont="1" applyAlignment="1">
      <alignment horizontal="center"/>
    </xf>
    <xf numFmtId="164" fontId="65" fillId="0" borderId="0" xfId="0" applyNumberFormat="1" applyFont="1" applyAlignment="1">
      <alignment horizontal="center" vertical="center"/>
    </xf>
    <xf numFmtId="187" fontId="63" fillId="0" borderId="0" xfId="0" applyNumberFormat="1" applyFont="1" applyAlignment="1">
      <alignment horizontal="right"/>
    </xf>
    <xf numFmtId="187" fontId="63" fillId="0" borderId="0" xfId="0" applyNumberFormat="1" applyFont="1" applyAlignment="1">
      <alignment horizontal="center"/>
    </xf>
    <xf numFmtId="49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55" fillId="32" borderId="0" xfId="0" applyFont="1" applyFill="1" applyAlignment="1">
      <alignment horizontal="center" vertical="center"/>
    </xf>
    <xf numFmtId="2" fontId="63" fillId="32" borderId="0" xfId="10" applyNumberFormat="1" applyFont="1" applyFill="1" applyAlignment="1">
      <alignment horizontal="center" vertical="top"/>
    </xf>
    <xf numFmtId="187" fontId="64" fillId="32" borderId="0" xfId="10" applyNumberFormat="1" applyFont="1" applyFill="1" applyAlignment="1">
      <alignment horizontal="right" vertical="top"/>
    </xf>
    <xf numFmtId="187" fontId="64" fillId="32" borderId="0" xfId="0" applyNumberFormat="1" applyFont="1" applyFill="1" applyAlignment="1">
      <alignment horizontal="center"/>
    </xf>
    <xf numFmtId="164" fontId="65" fillId="32" borderId="0" xfId="0" applyNumberFormat="1" applyFont="1" applyFill="1" applyAlignment="1">
      <alignment horizontal="center" vertical="center"/>
    </xf>
    <xf numFmtId="187" fontId="66" fillId="32" borderId="0" xfId="0" applyNumberFormat="1" applyFont="1" applyFill="1" applyAlignment="1">
      <alignment horizontal="left" vertical="top"/>
    </xf>
    <xf numFmtId="187" fontId="63" fillId="32" borderId="0" xfId="0" applyNumberFormat="1" applyFont="1" applyFill="1" applyAlignment="1">
      <alignment horizontal="center"/>
    </xf>
    <xf numFmtId="0" fontId="61" fillId="0" borderId="0" xfId="0" applyFont="1" applyAlignment="1">
      <alignment horizontal="center" vertical="center"/>
    </xf>
    <xf numFmtId="187" fontId="63" fillId="0" borderId="0" xfId="10" applyNumberFormat="1" applyFont="1" applyAlignment="1">
      <alignment horizontal="center" vertical="top"/>
    </xf>
    <xf numFmtId="187" fontId="60" fillId="0" borderId="0" xfId="10" applyNumberFormat="1" applyFont="1" applyAlignment="1">
      <alignment horizontal="right" vertical="top"/>
    </xf>
    <xf numFmtId="187" fontId="60" fillId="0" borderId="0" xfId="0" applyNumberFormat="1" applyFont="1" applyAlignment="1">
      <alignment horizontal="center"/>
    </xf>
    <xf numFmtId="164" fontId="67" fillId="0" borderId="0" xfId="0" applyNumberFormat="1" applyFont="1" applyAlignment="1">
      <alignment horizontal="center" vertical="center"/>
    </xf>
    <xf numFmtId="0" fontId="55" fillId="0" borderId="71" xfId="0" applyFont="1" applyBorder="1"/>
    <xf numFmtId="187" fontId="55" fillId="0" borderId="0" xfId="0" applyNumberFormat="1" applyFont="1" applyAlignment="1">
      <alignment horizontal="center"/>
    </xf>
    <xf numFmtId="3" fontId="68" fillId="32" borderId="0" xfId="10" applyNumberFormat="1" applyFont="1" applyFill="1" applyAlignment="1">
      <alignment horizontal="right" vertical="top"/>
    </xf>
    <xf numFmtId="172" fontId="65" fillId="32" borderId="0" xfId="0" applyNumberFormat="1" applyFont="1" applyFill="1" applyAlignment="1">
      <alignment horizontal="center"/>
    </xf>
    <xf numFmtId="187" fontId="63" fillId="32" borderId="0" xfId="0" applyNumberFormat="1" applyFont="1" applyFill="1" applyAlignment="1">
      <alignment horizontal="right"/>
    </xf>
    <xf numFmtId="4" fontId="63" fillId="0" borderId="0" xfId="0" applyNumberFormat="1" applyFont="1" applyAlignment="1">
      <alignment horizontal="center"/>
    </xf>
    <xf numFmtId="187" fontId="69" fillId="30" borderId="0" xfId="0" applyNumberFormat="1" applyFont="1" applyFill="1" applyAlignment="1">
      <alignment horizontal="right"/>
    </xf>
    <xf numFmtId="187" fontId="55" fillId="30" borderId="0" xfId="0" applyNumberFormat="1" applyFont="1" applyFill="1" applyAlignment="1">
      <alignment horizontal="center"/>
    </xf>
    <xf numFmtId="171" fontId="68" fillId="0" borderId="0" xfId="10" applyNumberFormat="1" applyFont="1" applyAlignment="1">
      <alignment horizontal="right" vertical="top"/>
    </xf>
    <xf numFmtId="164" fontId="63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43" fontId="6" fillId="0" borderId="0" xfId="1" applyFont="1" applyFill="1" applyBorder="1"/>
    <xf numFmtId="0" fontId="44" fillId="33" borderId="61" xfId="0" applyFont="1" applyFill="1" applyBorder="1" applyAlignment="1">
      <alignment horizontal="center"/>
    </xf>
    <xf numFmtId="0" fontId="44" fillId="33" borderId="49" xfId="0" applyFont="1" applyFill="1" applyBorder="1" applyAlignment="1">
      <alignment horizontal="center"/>
    </xf>
    <xf numFmtId="0" fontId="44" fillId="33" borderId="61" xfId="0" applyFont="1" applyFill="1" applyBorder="1"/>
    <xf numFmtId="0" fontId="44" fillId="33" borderId="49" xfId="0" applyFont="1" applyFill="1" applyBorder="1"/>
    <xf numFmtId="0" fontId="41" fillId="0" borderId="74" xfId="0" applyFont="1" applyBorder="1" applyAlignment="1">
      <alignment horizontal="center"/>
    </xf>
    <xf numFmtId="185" fontId="0" fillId="0" borderId="72" xfId="1" applyNumberFormat="1" applyFont="1" applyBorder="1" applyAlignment="1">
      <alignment horizontal="center"/>
    </xf>
    <xf numFmtId="183" fontId="0" fillId="0" borderId="72" xfId="2" applyNumberFormat="1" applyFont="1" applyBorder="1" applyAlignment="1">
      <alignment horizontal="center"/>
    </xf>
    <xf numFmtId="44" fontId="0" fillId="0" borderId="72" xfId="2" applyFont="1" applyBorder="1" applyAlignment="1">
      <alignment horizontal="center"/>
    </xf>
    <xf numFmtId="0" fontId="0" fillId="0" borderId="72" xfId="0" applyBorder="1"/>
    <xf numFmtId="183" fontId="0" fillId="0" borderId="73" xfId="0" applyNumberFormat="1" applyBorder="1"/>
    <xf numFmtId="0" fontId="0" fillId="0" borderId="74" xfId="0" applyBorder="1" applyAlignment="1">
      <alignment horizontal="center"/>
    </xf>
    <xf numFmtId="0" fontId="0" fillId="0" borderId="72" xfId="0" applyBorder="1" applyAlignment="1">
      <alignment horizontal="center"/>
    </xf>
    <xf numFmtId="170" fontId="41" fillId="0" borderId="72" xfId="1" applyNumberFormat="1" applyFont="1" applyBorder="1" applyAlignment="1">
      <alignment horizontal="center"/>
    </xf>
    <xf numFmtId="186" fontId="0" fillId="0" borderId="72" xfId="0" applyNumberFormat="1" applyBorder="1" applyAlignment="1">
      <alignment horizontal="center"/>
    </xf>
    <xf numFmtId="44" fontId="41" fillId="0" borderId="72" xfId="0" applyNumberFormat="1" applyFont="1" applyBorder="1" applyAlignment="1">
      <alignment horizontal="center"/>
    </xf>
    <xf numFmtId="0" fontId="41" fillId="0" borderId="75" xfId="0" applyFont="1" applyBorder="1" applyAlignment="1">
      <alignment horizontal="center"/>
    </xf>
    <xf numFmtId="0" fontId="0" fillId="0" borderId="74" xfId="0" applyBorder="1"/>
    <xf numFmtId="0" fontId="41" fillId="0" borderId="76" xfId="0" applyFont="1" applyBorder="1"/>
    <xf numFmtId="43" fontId="41" fillId="0" borderId="77" xfId="0" applyNumberFormat="1" applyFont="1" applyBorder="1"/>
    <xf numFmtId="0" fontId="0" fillId="0" borderId="77" xfId="0" applyBorder="1"/>
    <xf numFmtId="44" fontId="41" fillId="0" borderId="77" xfId="0" applyNumberFormat="1" applyFont="1" applyBorder="1"/>
    <xf numFmtId="183" fontId="0" fillId="0" borderId="78" xfId="0" applyNumberFormat="1" applyBorder="1"/>
    <xf numFmtId="169" fontId="0" fillId="0" borderId="0" xfId="2" applyNumberFormat="1" applyFont="1" applyBorder="1" applyAlignment="1">
      <alignment horizontal="center"/>
    </xf>
    <xf numFmtId="169" fontId="0" fillId="0" borderId="0" xfId="2" applyNumberFormat="1" applyFont="1" applyAlignment="1">
      <alignment horizontal="center"/>
    </xf>
    <xf numFmtId="169" fontId="0" fillId="0" borderId="70" xfId="2" applyNumberFormat="1" applyFont="1" applyBorder="1" applyAlignment="1">
      <alignment horizontal="center"/>
    </xf>
    <xf numFmtId="0" fontId="41" fillId="0" borderId="19" xfId="0" applyFont="1" applyBorder="1"/>
    <xf numFmtId="184" fontId="41" fillId="4" borderId="39" xfId="0" applyNumberFormat="1" applyFont="1" applyFill="1" applyBorder="1"/>
    <xf numFmtId="0" fontId="70" fillId="34" borderId="60" xfId="0" applyFont="1" applyFill="1" applyBorder="1" applyAlignment="1">
      <alignment horizontal="center" vertical="center"/>
    </xf>
    <xf numFmtId="0" fontId="71" fillId="34" borderId="26" xfId="0" applyFont="1" applyFill="1" applyBorder="1" applyAlignment="1">
      <alignment horizontal="center" vertical="center"/>
    </xf>
    <xf numFmtId="0" fontId="72" fillId="35" borderId="60" xfId="0" applyFont="1" applyFill="1" applyBorder="1" applyAlignment="1">
      <alignment horizontal="center" vertical="center"/>
    </xf>
    <xf numFmtId="43" fontId="41" fillId="0" borderId="0" xfId="1" applyFont="1" applyBorder="1"/>
    <xf numFmtId="0" fontId="73" fillId="0" borderId="79" xfId="0" applyFont="1" applyBorder="1" applyAlignment="1">
      <alignment horizontal="center" vertical="center"/>
    </xf>
    <xf numFmtId="165" fontId="74" fillId="0" borderId="79" xfId="0" applyNumberFormat="1" applyFont="1" applyBorder="1" applyAlignment="1">
      <alignment vertical="center"/>
    </xf>
    <xf numFmtId="165" fontId="75" fillId="35" borderId="79" xfId="0" applyNumberFormat="1" applyFont="1" applyFill="1" applyBorder="1" applyAlignment="1">
      <alignment vertical="center"/>
    </xf>
    <xf numFmtId="165" fontId="0" fillId="0" borderId="0" xfId="0" applyNumberFormat="1"/>
    <xf numFmtId="165" fontId="74" fillId="36" borderId="79" xfId="0" applyNumberFormat="1" applyFont="1" applyFill="1" applyBorder="1" applyAlignment="1">
      <alignment vertical="center"/>
    </xf>
    <xf numFmtId="165" fontId="74" fillId="37" borderId="79" xfId="0" applyNumberFormat="1" applyFont="1" applyFill="1" applyBorder="1" applyAlignment="1">
      <alignment vertical="center"/>
    </xf>
    <xf numFmtId="3" fontId="0" fillId="0" borderId="0" xfId="0" applyNumberFormat="1"/>
    <xf numFmtId="165" fontId="74" fillId="38" borderId="79" xfId="0" applyNumberFormat="1" applyFont="1" applyFill="1" applyBorder="1" applyAlignment="1">
      <alignment vertical="center"/>
    </xf>
    <xf numFmtId="169" fontId="0" fillId="4" borderId="0" xfId="2" applyNumberFormat="1" applyFont="1" applyFill="1"/>
    <xf numFmtId="165" fontId="75" fillId="35" borderId="80" xfId="0" applyNumberFormat="1" applyFont="1" applyFill="1" applyBorder="1" applyAlignment="1">
      <alignment vertical="center"/>
    </xf>
    <xf numFmtId="165" fontId="74" fillId="4" borderId="79" xfId="0" applyNumberFormat="1" applyFont="1" applyFill="1" applyBorder="1" applyAlignment="1">
      <alignment vertical="center"/>
    </xf>
    <xf numFmtId="165" fontId="0" fillId="4" borderId="0" xfId="2" applyNumberFormat="1" applyFont="1" applyFill="1"/>
    <xf numFmtId="0" fontId="76" fillId="0" borderId="0" xfId="0" applyFont="1" applyAlignment="1">
      <alignment vertical="center"/>
    </xf>
    <xf numFmtId="169" fontId="40" fillId="23" borderId="24" xfId="8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69" fontId="42" fillId="39" borderId="24" xfId="8" applyNumberFormat="1" applyFont="1" applyFill="1" applyBorder="1" applyAlignment="1">
      <alignment horizontal="right"/>
    </xf>
    <xf numFmtId="43" fontId="41" fillId="0" borderId="0" xfId="1" applyFont="1" applyBorder="1" applyAlignment="1">
      <alignment horizontal="right"/>
    </xf>
    <xf numFmtId="169" fontId="41" fillId="4" borderId="0" xfId="2" applyNumberFormat="1" applyFont="1" applyFill="1" applyAlignment="1">
      <alignment vertical="center"/>
    </xf>
    <xf numFmtId="3" fontId="10" fillId="0" borderId="0" xfId="0" applyNumberFormat="1" applyFont="1"/>
    <xf numFmtId="4" fontId="10" fillId="0" borderId="0" xfId="0" applyNumberFormat="1" applyFont="1"/>
    <xf numFmtId="0" fontId="43" fillId="23" borderId="34" xfId="6" quotePrefix="1" applyFont="1" applyFill="1" applyBorder="1" applyAlignment="1">
      <alignment horizontal="center"/>
    </xf>
    <xf numFmtId="0" fontId="43" fillId="23" borderId="35" xfId="6" applyFont="1" applyFill="1" applyBorder="1" applyAlignment="1">
      <alignment horizontal="center"/>
    </xf>
    <xf numFmtId="0" fontId="41" fillId="24" borderId="11" xfId="6" applyFont="1" applyFill="1" applyBorder="1" applyAlignment="1">
      <alignment horizontal="center"/>
    </xf>
    <xf numFmtId="0" fontId="41" fillId="24" borderId="47" xfId="6" applyFont="1" applyFill="1" applyBorder="1" applyAlignment="1">
      <alignment horizontal="center"/>
    </xf>
    <xf numFmtId="0" fontId="43" fillId="23" borderId="48" xfId="6" quotePrefix="1" applyFont="1" applyFill="1" applyBorder="1" applyAlignment="1">
      <alignment horizontal="center"/>
    </xf>
    <xf numFmtId="0" fontId="43" fillId="23" borderId="57" xfId="6" applyFont="1" applyFill="1" applyBorder="1" applyAlignment="1">
      <alignment horizontal="center"/>
    </xf>
    <xf numFmtId="0" fontId="43" fillId="26" borderId="4" xfId="6" quotePrefix="1" applyFont="1" applyFill="1" applyBorder="1" applyAlignment="1">
      <alignment horizontal="left"/>
    </xf>
    <xf numFmtId="0" fontId="43" fillId="26" borderId="6" xfId="6" applyFont="1" applyFill="1" applyBorder="1" applyAlignment="1">
      <alignment horizontal="left"/>
    </xf>
    <xf numFmtId="0" fontId="44" fillId="27" borderId="0" xfId="0" quotePrefix="1" applyFont="1" applyFill="1" applyAlignment="1">
      <alignment horizontal="center" vertical="center"/>
    </xf>
    <xf numFmtId="0" fontId="32" fillId="0" borderId="11" xfId="0" applyFont="1" applyBorder="1" applyAlignment="1">
      <alignment horizontal="center"/>
    </xf>
    <xf numFmtId="0" fontId="32" fillId="0" borderId="47" xfId="0" applyFont="1" applyBorder="1" applyAlignment="1">
      <alignment horizontal="center"/>
    </xf>
    <xf numFmtId="10" fontId="32" fillId="21" borderId="24" xfId="0" applyNumberFormat="1" applyFont="1" applyFill="1" applyBorder="1" applyAlignment="1">
      <alignment horizontal="center" vertical="center"/>
    </xf>
    <xf numFmtId="10" fontId="32" fillId="11" borderId="24" xfId="0" applyNumberFormat="1" applyFont="1" applyFill="1" applyBorder="1" applyAlignment="1">
      <alignment horizontal="center"/>
    </xf>
    <xf numFmtId="10" fontId="32" fillId="6" borderId="37" xfId="0" applyNumberFormat="1" applyFont="1" applyFill="1" applyBorder="1" applyAlignment="1">
      <alignment horizontal="center"/>
    </xf>
    <xf numFmtId="10" fontId="32" fillId="6" borderId="38" xfId="0" applyNumberFormat="1" applyFont="1" applyFill="1" applyBorder="1" applyAlignment="1">
      <alignment horizontal="center"/>
    </xf>
    <xf numFmtId="10" fontId="32" fillId="6" borderId="39" xfId="0" applyNumberFormat="1" applyFont="1" applyFill="1" applyBorder="1" applyAlignment="1">
      <alignment horizontal="center"/>
    </xf>
    <xf numFmtId="0" fontId="8" fillId="20" borderId="17" xfId="6" applyFont="1" applyFill="1" applyBorder="1" applyAlignment="1">
      <alignment horizontal="center" vertical="center"/>
    </xf>
    <xf numFmtId="0" fontId="8" fillId="20" borderId="42" xfId="6" applyFont="1" applyFill="1" applyBorder="1" applyAlignment="1">
      <alignment horizontal="center" vertical="center"/>
    </xf>
    <xf numFmtId="10" fontId="32" fillId="20" borderId="43" xfId="0" applyNumberFormat="1" applyFont="1" applyFill="1" applyBorder="1" applyAlignment="1">
      <alignment horizontal="center" vertical="center"/>
    </xf>
    <xf numFmtId="10" fontId="32" fillId="20" borderId="44" xfId="0" applyNumberFormat="1" applyFont="1" applyFill="1" applyBorder="1" applyAlignment="1">
      <alignment horizontal="center" vertical="center"/>
    </xf>
    <xf numFmtId="10" fontId="32" fillId="20" borderId="45" xfId="0" applyNumberFormat="1" applyFont="1" applyFill="1" applyBorder="1" applyAlignment="1">
      <alignment horizontal="center" vertical="center"/>
    </xf>
    <xf numFmtId="10" fontId="32" fillId="15" borderId="43" xfId="0" applyNumberFormat="1" applyFont="1" applyFill="1" applyBorder="1" applyAlignment="1">
      <alignment horizontal="center"/>
    </xf>
    <xf numFmtId="10" fontId="32" fillId="15" borderId="44" xfId="0" applyNumberFormat="1" applyFont="1" applyFill="1" applyBorder="1" applyAlignment="1">
      <alignment horizontal="center"/>
    </xf>
    <xf numFmtId="10" fontId="32" fillId="15" borderId="46" xfId="0" applyNumberFormat="1" applyFont="1" applyFill="1" applyBorder="1" applyAlignment="1">
      <alignment horizontal="center"/>
    </xf>
    <xf numFmtId="0" fontId="32" fillId="21" borderId="0" xfId="0" applyFont="1" applyFill="1" applyAlignment="1">
      <alignment horizontal="center" vertical="center"/>
    </xf>
    <xf numFmtId="10" fontId="32" fillId="11" borderId="0" xfId="0" applyNumberFormat="1" applyFont="1" applyFill="1" applyAlignment="1">
      <alignment horizontal="center"/>
    </xf>
    <xf numFmtId="0" fontId="8" fillId="18" borderId="0" xfId="6" applyFont="1" applyFill="1" applyAlignment="1">
      <alignment horizontal="center" vertical="center"/>
    </xf>
    <xf numFmtId="0" fontId="8" fillId="18" borderId="36" xfId="6" applyFont="1" applyFill="1" applyBorder="1" applyAlignment="1">
      <alignment horizontal="center" vertical="center"/>
    </xf>
    <xf numFmtId="10" fontId="32" fillId="19" borderId="37" xfId="0" applyNumberFormat="1" applyFont="1" applyFill="1" applyBorder="1" applyAlignment="1">
      <alignment horizontal="center" vertical="center"/>
    </xf>
    <xf numFmtId="10" fontId="32" fillId="19" borderId="38" xfId="0" applyNumberFormat="1" applyFont="1" applyFill="1" applyBorder="1" applyAlignment="1">
      <alignment horizontal="center" vertical="center"/>
    </xf>
    <xf numFmtId="10" fontId="32" fillId="19" borderId="39" xfId="0" applyNumberFormat="1" applyFont="1" applyFill="1" applyBorder="1" applyAlignment="1">
      <alignment horizontal="center" vertical="center"/>
    </xf>
    <xf numFmtId="0" fontId="11" fillId="5" borderId="2" xfId="6" applyFont="1" applyFill="1" applyBorder="1" applyAlignment="1">
      <alignment horizontal="center" vertical="center"/>
    </xf>
    <xf numFmtId="0" fontId="11" fillId="5" borderId="3" xfId="6" applyFont="1" applyFill="1" applyBorder="1" applyAlignment="1">
      <alignment horizontal="center" vertical="center"/>
    </xf>
    <xf numFmtId="166" fontId="11" fillId="5" borderId="4" xfId="0" applyNumberFormat="1" applyFont="1" applyFill="1" applyBorder="1" applyAlignment="1">
      <alignment horizontal="center"/>
    </xf>
    <xf numFmtId="166" fontId="11" fillId="5" borderId="5" xfId="0" applyNumberFormat="1" applyFont="1" applyFill="1" applyBorder="1" applyAlignment="1">
      <alignment horizontal="center"/>
    </xf>
    <xf numFmtId="166" fontId="11" fillId="5" borderId="6" xfId="0" applyNumberFormat="1" applyFont="1" applyFill="1" applyBorder="1" applyAlignment="1">
      <alignment horizontal="center"/>
    </xf>
    <xf numFmtId="0" fontId="24" fillId="9" borderId="2" xfId="6" applyFont="1" applyFill="1" applyBorder="1" applyAlignment="1">
      <alignment horizontal="center" vertical="center"/>
    </xf>
    <xf numFmtId="0" fontId="24" fillId="9" borderId="3" xfId="6" applyFont="1" applyFill="1" applyBorder="1" applyAlignment="1">
      <alignment horizontal="center" vertical="center"/>
    </xf>
    <xf numFmtId="166" fontId="24" fillId="9" borderId="4" xfId="0" applyNumberFormat="1" applyFont="1" applyFill="1" applyBorder="1" applyAlignment="1">
      <alignment horizontal="center" vertical="center"/>
    </xf>
    <xf numFmtId="166" fontId="24" fillId="9" borderId="5" xfId="0" applyNumberFormat="1" applyFont="1" applyFill="1" applyBorder="1" applyAlignment="1">
      <alignment horizontal="center" vertical="center"/>
    </xf>
    <xf numFmtId="166" fontId="24" fillId="9" borderId="6" xfId="0" applyNumberFormat="1" applyFont="1" applyFill="1" applyBorder="1" applyAlignment="1">
      <alignment horizontal="center" vertical="center"/>
    </xf>
    <xf numFmtId="166" fontId="24" fillId="12" borderId="4" xfId="0" applyNumberFormat="1" applyFont="1" applyFill="1" applyBorder="1" applyAlignment="1">
      <alignment horizontal="center" vertical="center"/>
    </xf>
    <xf numFmtId="166" fontId="24" fillId="12" borderId="5" xfId="0" applyNumberFormat="1" applyFont="1" applyFill="1" applyBorder="1" applyAlignment="1">
      <alignment horizontal="center" vertical="center"/>
    </xf>
    <xf numFmtId="166" fontId="24" fillId="12" borderId="6" xfId="0" applyNumberFormat="1" applyFont="1" applyFill="1" applyBorder="1" applyAlignment="1">
      <alignment horizontal="center" vertical="center"/>
    </xf>
    <xf numFmtId="0" fontId="41" fillId="3" borderId="2" xfId="5" applyFont="1" applyBorder="1" applyAlignment="1">
      <alignment horizontal="center" vertical="center"/>
    </xf>
    <xf numFmtId="0" fontId="41" fillId="3" borderId="3" xfId="5" applyFont="1" applyBorder="1" applyAlignment="1">
      <alignment horizontal="center" vertical="center"/>
    </xf>
    <xf numFmtId="166" fontId="41" fillId="3" borderId="4" xfId="5" applyNumberFormat="1" applyFont="1" applyBorder="1" applyAlignment="1">
      <alignment horizontal="center"/>
    </xf>
    <xf numFmtId="166" fontId="41" fillId="3" borderId="5" xfId="5" applyNumberFormat="1" applyFont="1" applyBorder="1" applyAlignment="1">
      <alignment horizontal="center"/>
    </xf>
    <xf numFmtId="166" fontId="41" fillId="3" borderId="6" xfId="5" applyNumberFormat="1" applyFont="1" applyBorder="1" applyAlignment="1">
      <alignment horizontal="center"/>
    </xf>
    <xf numFmtId="0" fontId="32" fillId="28" borderId="0" xfId="0" applyFont="1" applyFill="1" applyAlignment="1">
      <alignment horizontal="center" vertical="center"/>
    </xf>
    <xf numFmtId="0" fontId="32" fillId="29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</cellXfs>
  <cellStyles count="11">
    <cellStyle name="40% - Énfasis6" xfId="5" builtinId="51"/>
    <cellStyle name="Entrada" xfId="4" builtinId="20"/>
    <cellStyle name="Millares" xfId="1" builtinId="3"/>
    <cellStyle name="Millares 2" xfId="7" xr:uid="{D1855853-E2C6-420B-A0CE-1A1853B2CD2F}"/>
    <cellStyle name="Millares 6" xfId="9" xr:uid="{6A31C0AA-DF09-452D-985D-B67E246ABA5C}"/>
    <cellStyle name="Moneda" xfId="2" builtinId="4"/>
    <cellStyle name="Moneda 2" xfId="8" xr:uid="{5045C7B0-C1DF-4191-86BA-18478826603B}"/>
    <cellStyle name="Normal" xfId="0" builtinId="0"/>
    <cellStyle name="Normal 2 7" xfId="6" xr:uid="{BD954636-A707-47D2-8AF5-EB81E44996B6}"/>
    <cellStyle name="Normal 3 4" xfId="10" xr:uid="{24315031-5D48-4B38-8387-6962529AB171}"/>
    <cellStyle name="Porcentaje" xfId="3" builtinId="5"/>
  </cellStyles>
  <dxfs count="2">
    <dxf>
      <numFmt numFmtId="183" formatCode="_-* #,##0.000\ &quot;€&quot;_-;\-* #,##0.000\ &quot;€&quot;_-;_-* &quot;-&quot;??\ &quot;€&quot;_-;_-@_-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stos\Desktop\Forfait%20definitivo.xlsx" TargetMode="External"/><Relationship Id="rId1" Type="http://schemas.openxmlformats.org/officeDocument/2006/relationships/externalLinkPath" Target="file:///C:\Users\Costos\Desktop\Forfait%20defini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forfaits"/>
      <sheetName val="VENTA ALMACÉN Y CAMPO"/>
      <sheetName val="RESUMEN CONFECCIONES FORFAITS"/>
    </sheetNames>
    <sheetDataSet>
      <sheetData sheetId="0" refreshError="1">
        <row r="29">
          <cell r="D29">
            <v>169731.41530036926</v>
          </cell>
        </row>
        <row r="31">
          <cell r="D31">
            <v>23232</v>
          </cell>
        </row>
        <row r="39">
          <cell r="D39">
            <v>2050432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1AC26-FAA0-465A-B6C5-8B2E363E2A2A}" name="Tabla2" displayName="Tabla2" ref="K2:P12" totalsRowShown="0" tableBorderDxfId="1">
  <autoFilter ref="K2:P12" xr:uid="{4A51AC26-FAA0-465A-B6C5-8B2E363E2A2A}"/>
  <tableColumns count="6">
    <tableColumn id="1" xr3:uid="{6C35AF46-7189-490E-A234-969556FDBD1D}" name="Cliente"/>
    <tableColumn id="2" xr3:uid="{141DDE68-C9E0-4F22-9126-B3E21482994B}" name="kg "/>
    <tableColumn id="3" xr3:uid="{0F4A752A-A7E8-471A-8045-CE8E1F79A555}" name="€/kg "/>
    <tableColumn id="4" xr3:uid="{E0ED9F2B-CD10-4338-A0E6-AE421A397C11}" name="Coste "/>
    <tableColumn id="5" xr3:uid="{301674B4-457F-4297-A165-AC84E9906738}" name="Recolección "/>
    <tableColumn id="6" xr3:uid="{B4E51C15-B855-453C-9AA7-96FD9CE06337}" name="€/kg  " dataDxfId="0">
      <calculatedColumnFormula>Tabla2[[#This Row],[€/kg ]]-Tabla2[[#This Row],[Recolección 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opLeftCell="A15" zoomScale="85" zoomScaleNormal="85" workbookViewId="0">
      <selection activeCell="I28" sqref="I28"/>
    </sheetView>
  </sheetViews>
  <sheetFormatPr baseColWidth="10" defaultColWidth="11.42578125" defaultRowHeight="15.75" x14ac:dyDescent="0.25"/>
  <cols>
    <col min="1" max="1" width="7.42578125" style="6" customWidth="1"/>
    <col min="2" max="2" width="31.7109375" style="6" customWidth="1"/>
    <col min="3" max="3" width="23" style="6" bestFit="1" customWidth="1"/>
    <col min="4" max="4" width="19.140625" style="6" bestFit="1" customWidth="1"/>
    <col min="5" max="5" width="14.140625" style="6" customWidth="1"/>
    <col min="6" max="6" width="14.7109375" style="6" customWidth="1"/>
    <col min="7" max="7" width="19.28515625" style="6" bestFit="1" customWidth="1"/>
    <col min="8" max="8" width="12.42578125" style="5" bestFit="1" customWidth="1"/>
    <col min="9" max="9" width="41" style="5" bestFit="1" customWidth="1"/>
    <col min="10" max="10" width="19.28515625" style="6" bestFit="1" customWidth="1"/>
    <col min="11" max="11" width="43" style="7" bestFit="1" customWidth="1"/>
    <col min="12" max="12" width="12.5703125" style="7" bestFit="1" customWidth="1"/>
    <col min="13" max="13" width="14.85546875" style="7" bestFit="1" customWidth="1"/>
    <col min="14" max="14" width="14.28515625" style="7" bestFit="1" customWidth="1"/>
    <col min="15" max="15" width="13.7109375" style="7" bestFit="1" customWidth="1"/>
    <col min="16" max="16" width="12.28515625" style="7" bestFit="1" customWidth="1"/>
    <col min="17" max="16384" width="11.42578125" style="7"/>
  </cols>
  <sheetData>
    <row r="1" spans="1:16" s="6" customFormat="1" ht="18.75" x14ac:dyDescent="0.3">
      <c r="A1" s="1"/>
      <c r="B1" s="2"/>
      <c r="C1" s="3"/>
      <c r="D1" s="3"/>
      <c r="E1" s="1"/>
      <c r="F1" s="1"/>
      <c r="G1" s="1"/>
      <c r="H1" s="4"/>
      <c r="I1" s="5"/>
      <c r="J1" s="1"/>
    </row>
    <row r="2" spans="1:16" ht="16.5" thickBot="1" x14ac:dyDescent="0.3"/>
    <row r="3" spans="1:16" s="6" customFormat="1" x14ac:dyDescent="0.25">
      <c r="A3" s="1"/>
      <c r="B3" s="8" t="s">
        <v>0</v>
      </c>
      <c r="C3" s="8"/>
      <c r="D3" s="9" t="s">
        <v>1</v>
      </c>
      <c r="E3" s="10" t="s">
        <v>2</v>
      </c>
      <c r="F3" s="8"/>
      <c r="G3" s="8"/>
      <c r="H3" s="11" t="s">
        <v>3</v>
      </c>
      <c r="I3" s="5"/>
      <c r="J3" s="8"/>
    </row>
    <row r="4" spans="1:16" s="6" customFormat="1" ht="16.5" thickBot="1" x14ac:dyDescent="0.3">
      <c r="A4" s="1"/>
      <c r="B4" s="12"/>
      <c r="C4" s="13"/>
      <c r="D4" s="14"/>
      <c r="E4" s="12"/>
      <c r="F4" s="15"/>
      <c r="G4" s="15"/>
      <c r="H4" s="16" t="s">
        <v>4</v>
      </c>
      <c r="I4" s="5"/>
      <c r="J4" s="15"/>
    </row>
    <row r="5" spans="1:16" s="6" customFormat="1" ht="16.5" thickBot="1" x14ac:dyDescent="0.3">
      <c r="B5" s="646" t="s">
        <v>5</v>
      </c>
      <c r="C5" s="648" t="s">
        <v>6</v>
      </c>
      <c r="D5" s="649"/>
      <c r="E5" s="649"/>
      <c r="F5" s="650"/>
      <c r="G5" s="17"/>
      <c r="H5" s="4"/>
      <c r="I5" s="18" t="s">
        <v>7</v>
      </c>
      <c r="J5" s="17"/>
    </row>
    <row r="6" spans="1:16" s="6" customFormat="1" ht="16.5" thickBot="1" x14ac:dyDescent="0.3">
      <c r="B6" s="647"/>
      <c r="C6" s="19" t="s">
        <v>8</v>
      </c>
      <c r="D6" s="20" t="s">
        <v>9</v>
      </c>
      <c r="E6" s="21" t="s">
        <v>10</v>
      </c>
      <c r="F6" s="22" t="s">
        <v>11</v>
      </c>
      <c r="G6" s="23"/>
      <c r="H6" s="4"/>
      <c r="I6" s="5"/>
      <c r="J6" s="23"/>
    </row>
    <row r="7" spans="1:16" s="6" customFormat="1" ht="16.5" thickBot="1" x14ac:dyDescent="0.3">
      <c r="A7" s="24"/>
      <c r="B7" s="25" t="s">
        <v>12</v>
      </c>
      <c r="C7" s="26" t="s">
        <v>12</v>
      </c>
      <c r="D7" s="27" t="s">
        <v>12</v>
      </c>
      <c r="E7" s="28" t="s">
        <v>12</v>
      </c>
      <c r="F7" s="29" t="s">
        <v>12</v>
      </c>
      <c r="G7" s="30"/>
      <c r="H7" s="4"/>
      <c r="K7" s="5"/>
      <c r="L7" s="30"/>
      <c r="M7" s="31" t="s">
        <v>13</v>
      </c>
      <c r="N7" s="32" t="s">
        <v>13</v>
      </c>
      <c r="O7" s="31" t="s">
        <v>14</v>
      </c>
      <c r="P7" s="32" t="s">
        <v>14</v>
      </c>
    </row>
    <row r="8" spans="1:16" s="6" customFormat="1" x14ac:dyDescent="0.25">
      <c r="A8" s="33"/>
      <c r="B8" s="34" t="s">
        <v>15</v>
      </c>
      <c r="C8" s="35">
        <v>1634228.37</v>
      </c>
      <c r="D8" s="36">
        <v>1529233</v>
      </c>
      <c r="E8" s="37">
        <f>D8/$D$21</f>
        <v>0.74581015122666838</v>
      </c>
      <c r="F8" s="38">
        <f>C8/D8</f>
        <v>1.0686588440087286</v>
      </c>
      <c r="G8" s="563"/>
      <c r="H8" s="40"/>
      <c r="I8" s="4" t="s">
        <v>16</v>
      </c>
      <c r="L8" s="39"/>
      <c r="M8" s="41" t="s">
        <v>17</v>
      </c>
      <c r="N8" s="41" t="s">
        <v>18</v>
      </c>
      <c r="O8" s="41" t="s">
        <v>19</v>
      </c>
      <c r="P8" s="41" t="s">
        <v>18</v>
      </c>
    </row>
    <row r="9" spans="1:16" s="6" customFormat="1" ht="15.75" customHeight="1" x14ac:dyDescent="0.25">
      <c r="A9" s="33"/>
      <c r="B9" s="42" t="s">
        <v>20</v>
      </c>
      <c r="C9" s="43"/>
      <c r="D9" s="44"/>
      <c r="E9" s="45">
        <f>D9/$D$21</f>
        <v>0</v>
      </c>
      <c r="F9" s="46" t="e">
        <f>C9/D9</f>
        <v>#DIV/0!</v>
      </c>
      <c r="G9" s="39"/>
      <c r="H9" s="47">
        <f>C9</f>
        <v>0</v>
      </c>
      <c r="I9" s="5" t="s">
        <v>21</v>
      </c>
      <c r="L9" s="39"/>
      <c r="M9" s="48"/>
      <c r="N9" s="49">
        <f>+D9-M9</f>
        <v>0</v>
      </c>
      <c r="O9" s="50"/>
      <c r="P9" s="51">
        <f>+C9-O9</f>
        <v>0</v>
      </c>
    </row>
    <row r="10" spans="1:16" s="6" customFormat="1" x14ac:dyDescent="0.25">
      <c r="A10" s="33"/>
      <c r="B10" s="52" t="s">
        <v>22</v>
      </c>
      <c r="C10" s="43"/>
      <c r="D10" s="44"/>
      <c r="E10" s="45">
        <f>D10/$D$21</f>
        <v>0</v>
      </c>
      <c r="F10" s="46" t="e">
        <f>C10/D10</f>
        <v>#DIV/0!</v>
      </c>
      <c r="G10" s="39"/>
      <c r="H10" s="47">
        <f>C10</f>
        <v>0</v>
      </c>
      <c r="I10" s="4" t="s">
        <v>23</v>
      </c>
      <c r="L10" s="39"/>
      <c r="M10" s="5"/>
      <c r="O10" s="41" t="s">
        <v>24</v>
      </c>
    </row>
    <row r="11" spans="1:16" s="6" customFormat="1" ht="16.5" thickBot="1" x14ac:dyDescent="0.3">
      <c r="A11" s="33"/>
      <c r="B11" s="53" t="s">
        <v>25</v>
      </c>
      <c r="C11" s="54"/>
      <c r="D11" s="55"/>
      <c r="E11" s="56"/>
      <c r="F11" s="57"/>
      <c r="G11" s="58"/>
      <c r="H11" s="47"/>
      <c r="K11" s="59">
        <f>+E12+E17</f>
        <v>0.74581015122666838</v>
      </c>
      <c r="L11" s="60">
        <f>+K11-K12</f>
        <v>-5.0510360794151499E-2</v>
      </c>
    </row>
    <row r="12" spans="1:16" s="6" customFormat="1" ht="16.5" thickBot="1" x14ac:dyDescent="0.3">
      <c r="A12" s="24">
        <v>1.0413410058292165</v>
      </c>
      <c r="B12" s="61" t="s">
        <v>26</v>
      </c>
      <c r="C12" s="62">
        <f>SUM(C8:C11)</f>
        <v>1634228.37</v>
      </c>
      <c r="D12" s="63">
        <f>SUM(D8:D11)</f>
        <v>1529233</v>
      </c>
      <c r="E12" s="64">
        <f>D12/D21</f>
        <v>0.74581015122666838</v>
      </c>
      <c r="F12" s="65">
        <f>C12/D12</f>
        <v>1.0686588440087286</v>
      </c>
      <c r="G12" s="66"/>
      <c r="H12" s="47"/>
      <c r="K12" s="67">
        <f>D92</f>
        <v>0.79632051202081988</v>
      </c>
      <c r="L12" s="68" t="s">
        <v>27</v>
      </c>
    </row>
    <row r="13" spans="1:16" s="6" customFormat="1" ht="15.75" customHeight="1" x14ac:dyDescent="0.25">
      <c r="B13" s="69" t="s">
        <v>28</v>
      </c>
      <c r="C13" s="43"/>
      <c r="D13" s="44"/>
      <c r="E13" s="70">
        <f>D13/$D$21</f>
        <v>0</v>
      </c>
      <c r="F13" s="71" t="e">
        <f t="shared" ref="F13" si="0">C13/D13</f>
        <v>#DIV/0!</v>
      </c>
      <c r="G13" s="58"/>
      <c r="H13" s="47">
        <f>C13</f>
        <v>0</v>
      </c>
      <c r="I13" s="5" t="s">
        <v>29</v>
      </c>
      <c r="J13" s="58"/>
    </row>
    <row r="14" spans="1:16" s="6" customFormat="1" ht="15.75" customHeight="1" x14ac:dyDescent="0.25">
      <c r="B14" s="42"/>
      <c r="C14" s="43"/>
      <c r="D14" s="72"/>
      <c r="E14" s="45"/>
      <c r="F14" s="73"/>
      <c r="G14" s="58"/>
      <c r="H14" s="47">
        <f>C14</f>
        <v>0</v>
      </c>
      <c r="I14" s="5"/>
      <c r="J14" s="58"/>
    </row>
    <row r="15" spans="1:16" x14ac:dyDescent="0.25">
      <c r="B15" s="42"/>
      <c r="C15" s="43"/>
      <c r="D15" s="72"/>
      <c r="E15" s="45"/>
      <c r="F15" s="73"/>
      <c r="G15" s="58"/>
      <c r="H15" s="47"/>
      <c r="J15" s="58"/>
    </row>
    <row r="16" spans="1:16" ht="16.5" thickBot="1" x14ac:dyDescent="0.3">
      <c r="B16" s="74"/>
      <c r="C16" s="75"/>
      <c r="D16" s="76"/>
      <c r="E16" s="77"/>
      <c r="F16" s="57"/>
      <c r="G16" s="58"/>
      <c r="H16" s="47"/>
      <c r="I16" s="78"/>
      <c r="J16" s="58"/>
    </row>
    <row r="17" spans="1:11" ht="16.5" thickBot="1" x14ac:dyDescent="0.3">
      <c r="A17" s="24">
        <v>0.27198336647984089</v>
      </c>
      <c r="B17" s="79" t="s">
        <v>30</v>
      </c>
      <c r="C17" s="80">
        <f>SUM(C13:C16)</f>
        <v>0</v>
      </c>
      <c r="D17" s="81">
        <f>SUM(D13:D16)</f>
        <v>0</v>
      </c>
      <c r="E17" s="82">
        <f>D17/D21</f>
        <v>0</v>
      </c>
      <c r="F17" s="65" t="e">
        <f>C17/D17</f>
        <v>#DIV/0!</v>
      </c>
      <c r="G17" s="66"/>
      <c r="H17" s="47"/>
      <c r="J17" s="66"/>
    </row>
    <row r="18" spans="1:11" x14ac:dyDescent="0.25">
      <c r="B18" s="83" t="s">
        <v>31</v>
      </c>
      <c r="C18" s="43"/>
      <c r="D18" s="72">
        <v>226234</v>
      </c>
      <c r="E18" s="84">
        <f>D18/D21</f>
        <v>0.11033479774018354</v>
      </c>
      <c r="F18" s="73">
        <v>0</v>
      </c>
      <c r="G18" s="58"/>
      <c r="H18" s="47"/>
      <c r="J18" s="58"/>
    </row>
    <row r="19" spans="1:11" x14ac:dyDescent="0.25">
      <c r="A19" s="24">
        <v>3.6535994850677399E-2</v>
      </c>
      <c r="B19" s="85" t="s">
        <v>32</v>
      </c>
      <c r="C19" s="43">
        <f>13712.4+44939.69</f>
        <v>58652.090000000004</v>
      </c>
      <c r="D19" s="72">
        <f>105480+166253</f>
        <v>271733</v>
      </c>
      <c r="E19" s="84">
        <f>D19/D21</f>
        <v>0.13252475575878644</v>
      </c>
      <c r="F19" s="73">
        <f>C19/D19</f>
        <v>0.21584456065328836</v>
      </c>
      <c r="G19" s="58"/>
      <c r="H19" s="47">
        <f>C19</f>
        <v>58652.090000000004</v>
      </c>
      <c r="I19" s="5" t="s">
        <v>33</v>
      </c>
      <c r="J19" s="58"/>
      <c r="K19" s="86"/>
    </row>
    <row r="20" spans="1:11" ht="16.5" thickBot="1" x14ac:dyDescent="0.3">
      <c r="A20" s="24"/>
      <c r="B20" s="85" t="s">
        <v>34</v>
      </c>
      <c r="C20" s="43"/>
      <c r="D20" s="72">
        <v>23232</v>
      </c>
      <c r="E20" s="84">
        <f>D20/D21</f>
        <v>1.1330295274361695E-2</v>
      </c>
      <c r="F20" s="73"/>
      <c r="G20" s="58"/>
      <c r="H20" s="47"/>
      <c r="I20" s="87"/>
      <c r="J20" s="58"/>
      <c r="K20" s="613">
        <v>1585736</v>
      </c>
    </row>
    <row r="21" spans="1:11" ht="16.5" thickBot="1" x14ac:dyDescent="0.3">
      <c r="A21" s="24">
        <v>0.63288692923670375</v>
      </c>
      <c r="B21" s="88" t="s">
        <v>35</v>
      </c>
      <c r="C21" s="89">
        <f>C12+C17+C18+C19+C20</f>
        <v>1692880.4600000002</v>
      </c>
      <c r="D21" s="90">
        <f>D12+D17+D18+D19+D20</f>
        <v>2050432</v>
      </c>
      <c r="E21" s="91">
        <f>+E12+E17+E18+E19</f>
        <v>0.98866970472563831</v>
      </c>
      <c r="F21" s="92">
        <f>C21/D21</f>
        <v>0.82562136174230616</v>
      </c>
      <c r="G21" s="93"/>
      <c r="H21" s="47"/>
      <c r="J21" s="93"/>
      <c r="K21" s="614">
        <v>179340.36</v>
      </c>
    </row>
    <row r="22" spans="1:11" x14ac:dyDescent="0.25">
      <c r="B22" s="9"/>
      <c r="D22" s="94">
        <v>2050432</v>
      </c>
      <c r="E22" s="95">
        <f>+D21-D23</f>
        <v>0</v>
      </c>
      <c r="F22" s="96"/>
      <c r="G22" s="96"/>
      <c r="H22" s="47"/>
      <c r="J22" s="96"/>
      <c r="K22" s="614">
        <f>K20-K21</f>
        <v>1406395.6400000001</v>
      </c>
    </row>
    <row r="23" spans="1:11" ht="16.5" thickBot="1" x14ac:dyDescent="0.3">
      <c r="B23" s="9"/>
      <c r="D23" s="97">
        <f>+C22+D22</f>
        <v>2050432</v>
      </c>
      <c r="E23" s="98">
        <f>E22/D22</f>
        <v>0</v>
      </c>
      <c r="F23" s="96"/>
      <c r="G23" s="96"/>
      <c r="H23" s="47"/>
      <c r="J23" s="96"/>
    </row>
    <row r="24" spans="1:11" ht="16.5" thickBot="1" x14ac:dyDescent="0.3">
      <c r="A24" s="24"/>
      <c r="B24" s="651" t="s">
        <v>36</v>
      </c>
      <c r="C24" s="653" t="s">
        <v>6</v>
      </c>
      <c r="D24" s="654"/>
      <c r="E24" s="654"/>
      <c r="F24" s="655"/>
      <c r="G24" s="99"/>
      <c r="H24" s="7"/>
      <c r="I24" s="7"/>
      <c r="J24" s="99"/>
    </row>
    <row r="25" spans="1:11" ht="16.5" thickBot="1" x14ac:dyDescent="0.3">
      <c r="A25" s="24"/>
      <c r="B25" s="652"/>
      <c r="C25" s="100" t="s">
        <v>8</v>
      </c>
      <c r="D25" s="101" t="s">
        <v>9</v>
      </c>
      <c r="E25" s="102" t="s">
        <v>10</v>
      </c>
      <c r="F25" s="103" t="s">
        <v>11</v>
      </c>
      <c r="G25" s="104"/>
      <c r="H25" s="7"/>
      <c r="I25" s="7"/>
      <c r="J25" s="104"/>
    </row>
    <row r="26" spans="1:11" x14ac:dyDescent="0.25">
      <c r="A26" s="24">
        <v>0.3201227264261845</v>
      </c>
      <c r="B26" s="105" t="s">
        <v>37</v>
      </c>
      <c r="C26" s="110">
        <v>446004.28111419815</v>
      </c>
      <c r="D26" s="111">
        <v>1406395.6400000001</v>
      </c>
      <c r="E26" s="106">
        <f>D26/D32</f>
        <v>0.68590197183870127</v>
      </c>
      <c r="F26" s="107">
        <f>C26/D26</f>
        <v>0.3171257563868714</v>
      </c>
      <c r="G26" s="108"/>
      <c r="H26" s="47">
        <f>-C26</f>
        <v>-446004.28111419815</v>
      </c>
      <c r="I26" s="5" t="s">
        <v>38</v>
      </c>
      <c r="J26" s="108"/>
    </row>
    <row r="27" spans="1:11" ht="15.75" customHeight="1" x14ac:dyDescent="0.25">
      <c r="A27" s="24"/>
      <c r="B27" s="109" t="s">
        <v>39</v>
      </c>
      <c r="C27" s="110">
        <v>63827.624342917901</v>
      </c>
      <c r="D27" s="111">
        <v>179340.36</v>
      </c>
      <c r="E27" s="112">
        <f>D27/D32</f>
        <v>8.7464652943792215E-2</v>
      </c>
      <c r="F27" s="113">
        <f>C27/D27</f>
        <v>0.35590217585666667</v>
      </c>
      <c r="G27" s="108">
        <f>(+C26+C27)/(D12)</f>
        <v>0.3333905987230959</v>
      </c>
      <c r="H27" s="47">
        <f t="shared" ref="H27:H30" si="1">-C27</f>
        <v>-63827.624342917901</v>
      </c>
      <c r="I27" s="5" t="s">
        <v>38</v>
      </c>
      <c r="J27" s="108"/>
    </row>
    <row r="28" spans="1:11" x14ac:dyDescent="0.25">
      <c r="A28" s="24" t="s">
        <v>12</v>
      </c>
      <c r="B28" s="109" t="s">
        <v>40</v>
      </c>
      <c r="C28" s="110"/>
      <c r="D28" s="114"/>
      <c r="E28" s="112">
        <f>D28/D32</f>
        <v>0</v>
      </c>
      <c r="F28" s="115" t="e">
        <f>C28/D28</f>
        <v>#DIV/0!</v>
      </c>
      <c r="G28" s="108"/>
      <c r="H28" s="47">
        <f t="shared" si="1"/>
        <v>0</v>
      </c>
      <c r="I28" s="5" t="s">
        <v>41</v>
      </c>
      <c r="J28" s="108"/>
    </row>
    <row r="29" spans="1:11" x14ac:dyDescent="0.25">
      <c r="A29" s="24"/>
      <c r="B29" s="116" t="s">
        <v>31</v>
      </c>
      <c r="C29" s="117"/>
      <c r="D29" s="118">
        <v>169731.42</v>
      </c>
      <c r="E29" s="112">
        <f>D29/D32</f>
        <v>8.2778353650885025E-2</v>
      </c>
      <c r="F29" s="119">
        <v>0</v>
      </c>
      <c r="G29" s="108"/>
      <c r="H29" s="47">
        <f t="shared" si="1"/>
        <v>0</v>
      </c>
      <c r="J29" s="108"/>
    </row>
    <row r="30" spans="1:11" x14ac:dyDescent="0.25">
      <c r="A30" s="24">
        <v>8.5000000000000006E-2</v>
      </c>
      <c r="B30" s="116" t="s">
        <v>32</v>
      </c>
      <c r="C30" s="110">
        <f>25134.4188+625.87</f>
        <v>25760.288799999998</v>
      </c>
      <c r="D30" s="114">
        <f>265131+6602</f>
        <v>271733</v>
      </c>
      <c r="E30" s="112">
        <f>D30/D32</f>
        <v>0.13252472861309908</v>
      </c>
      <c r="F30" s="119">
        <v>8.5000000000000006E-2</v>
      </c>
      <c r="G30" s="108"/>
      <c r="H30" s="47">
        <f t="shared" si="1"/>
        <v>-25760.288799999998</v>
      </c>
      <c r="I30" s="5" t="s">
        <v>42</v>
      </c>
      <c r="J30" s="108"/>
    </row>
    <row r="31" spans="1:11" ht="16.5" thickBot="1" x14ac:dyDescent="0.3">
      <c r="A31" s="24"/>
      <c r="B31" s="116" t="s">
        <v>34</v>
      </c>
      <c r="C31" s="110"/>
      <c r="D31" s="120">
        <v>23232</v>
      </c>
      <c r="E31" s="121">
        <f>D31/D32</f>
        <v>1.1330292953522458E-2</v>
      </c>
      <c r="F31" s="119">
        <f>C31/D31</f>
        <v>0</v>
      </c>
      <c r="G31" s="58"/>
      <c r="H31" s="47">
        <f>-C31</f>
        <v>0</v>
      </c>
      <c r="I31" s="5" t="s">
        <v>42</v>
      </c>
      <c r="J31" s="58"/>
    </row>
    <row r="32" spans="1:11" ht="16.5" thickBot="1" x14ac:dyDescent="0.3">
      <c r="A32" s="24"/>
      <c r="B32" s="122" t="s">
        <v>43</v>
      </c>
      <c r="C32" s="123">
        <f>SUM(C26:C31)</f>
        <v>535592.19425711606</v>
      </c>
      <c r="D32" s="124">
        <f>SUM(D26:D31)</f>
        <v>2050432.42</v>
      </c>
      <c r="E32" s="125">
        <f>SUM(E26:E31)</f>
        <v>1</v>
      </c>
      <c r="F32" s="126">
        <f>C32/D32</f>
        <v>0.26120938638744118</v>
      </c>
      <c r="G32" s="127"/>
      <c r="H32" s="47"/>
      <c r="J32" s="127"/>
    </row>
    <row r="33" spans="1:11" x14ac:dyDescent="0.25">
      <c r="A33" s="24"/>
      <c r="B33" s="128" t="s">
        <v>12</v>
      </c>
      <c r="C33" s="129"/>
      <c r="D33" s="130"/>
      <c r="E33" s="131"/>
      <c r="F33" s="132"/>
      <c r="G33" s="133"/>
      <c r="H33" s="47"/>
      <c r="J33" s="133"/>
    </row>
    <row r="34" spans="1:11" x14ac:dyDescent="0.25">
      <c r="A34" s="24"/>
      <c r="B34" s="116" t="s">
        <v>44</v>
      </c>
      <c r="C34" s="134">
        <f>+D34*F34</f>
        <v>32806.912000000004</v>
      </c>
      <c r="D34" s="135">
        <f>+D22</f>
        <v>2050432</v>
      </c>
      <c r="E34" s="136">
        <f>D34/D41</f>
        <v>1</v>
      </c>
      <c r="F34" s="115">
        <v>1.6E-2</v>
      </c>
      <c r="G34" s="108"/>
      <c r="H34" s="47">
        <f>-C34</f>
        <v>-32806.912000000004</v>
      </c>
      <c r="I34" s="5" t="s">
        <v>45</v>
      </c>
      <c r="J34" s="108"/>
    </row>
    <row r="35" spans="1:11" ht="16.5" thickBot="1" x14ac:dyDescent="0.3">
      <c r="A35" s="24"/>
      <c r="B35" s="137"/>
      <c r="C35" s="138"/>
      <c r="D35" s="139"/>
      <c r="E35" s="140"/>
      <c r="F35" s="141"/>
      <c r="G35" s="133"/>
      <c r="H35" s="47"/>
      <c r="J35" s="133"/>
      <c r="K35" s="86"/>
    </row>
    <row r="36" spans="1:11" ht="16.5" thickBot="1" x14ac:dyDescent="0.3">
      <c r="A36" s="24"/>
      <c r="B36" s="122" t="s">
        <v>43</v>
      </c>
      <c r="C36" s="142">
        <f>SUM(C33:C35)</f>
        <v>32806.912000000004</v>
      </c>
      <c r="D36" s="124">
        <f>SUM(D33:D35)</f>
        <v>2050432</v>
      </c>
      <c r="E36" s="143">
        <f>SUM(E33:E35)</f>
        <v>1</v>
      </c>
      <c r="F36" s="144">
        <f>C36/D36</f>
        <v>1.6E-2</v>
      </c>
      <c r="G36" s="145"/>
      <c r="H36" s="47"/>
      <c r="J36" s="145"/>
    </row>
    <row r="37" spans="1:11" x14ac:dyDescent="0.25">
      <c r="A37" s="24"/>
      <c r="B37" s="116"/>
      <c r="C37" s="134"/>
      <c r="D37" s="135"/>
      <c r="E37" s="136"/>
      <c r="F37" s="115"/>
      <c r="G37" s="108"/>
      <c r="H37" s="47"/>
      <c r="J37" s="108"/>
    </row>
    <row r="38" spans="1:11" ht="16.5" thickBot="1" x14ac:dyDescent="0.3">
      <c r="A38" s="24"/>
      <c r="B38" s="137"/>
      <c r="C38" s="138"/>
      <c r="D38" s="139"/>
      <c r="E38" s="140"/>
      <c r="F38" s="141"/>
      <c r="G38" s="133"/>
      <c r="H38" s="47"/>
      <c r="J38" s="133"/>
    </row>
    <row r="39" spans="1:11" ht="16.5" thickBot="1" x14ac:dyDescent="0.3">
      <c r="A39" s="24"/>
      <c r="B39" s="146" t="s">
        <v>46</v>
      </c>
      <c r="C39" s="142">
        <f>+C32+C36</f>
        <v>568399.10625711607</v>
      </c>
      <c r="D39" s="124">
        <f>D36</f>
        <v>2050432</v>
      </c>
      <c r="E39" s="143">
        <f>E36</f>
        <v>1</v>
      </c>
      <c r="F39" s="144">
        <f>C39/D39</f>
        <v>0.27720943989223545</v>
      </c>
      <c r="G39" s="145"/>
      <c r="H39" s="47"/>
      <c r="J39" s="145"/>
    </row>
    <row r="40" spans="1:11" ht="16.5" thickBot="1" x14ac:dyDescent="0.3">
      <c r="A40" s="24"/>
      <c r="B40" s="147"/>
      <c r="C40" s="148"/>
      <c r="D40" s="149"/>
      <c r="E40" s="150"/>
      <c r="F40" s="145"/>
      <c r="G40" s="145"/>
      <c r="H40" s="47"/>
      <c r="J40" s="145"/>
    </row>
    <row r="41" spans="1:11" ht="16.5" thickBot="1" x14ac:dyDescent="0.3">
      <c r="A41" s="24">
        <v>0.40611410135243015</v>
      </c>
      <c r="B41" s="151" t="s">
        <v>47</v>
      </c>
      <c r="C41" s="152">
        <f>C21-C39</f>
        <v>1124481.353742884</v>
      </c>
      <c r="D41" s="153">
        <f>+D39</f>
        <v>2050432</v>
      </c>
      <c r="E41" s="154">
        <f>+E39</f>
        <v>1</v>
      </c>
      <c r="F41" s="155">
        <f>C41/D41</f>
        <v>0.54841192185007059</v>
      </c>
      <c r="G41" s="93"/>
      <c r="H41" s="47"/>
      <c r="J41" s="93"/>
    </row>
    <row r="42" spans="1:11" ht="16.5" thickBot="1" x14ac:dyDescent="0.3">
      <c r="A42" s="24"/>
      <c r="B42" s="9"/>
      <c r="F42" s="96"/>
      <c r="G42" s="96"/>
      <c r="H42" s="47"/>
      <c r="J42" s="96"/>
    </row>
    <row r="43" spans="1:11" ht="16.5" thickBot="1" x14ac:dyDescent="0.3">
      <c r="A43" s="24"/>
      <c r="B43" s="156" t="s">
        <v>48</v>
      </c>
      <c r="C43" s="656" t="s">
        <v>6</v>
      </c>
      <c r="D43" s="657"/>
      <c r="E43" s="657"/>
      <c r="F43" s="658"/>
      <c r="G43" s="99"/>
      <c r="H43" s="47"/>
      <c r="J43" s="99"/>
    </row>
    <row r="44" spans="1:11" ht="16.5" thickBot="1" x14ac:dyDescent="0.3">
      <c r="A44" s="24"/>
      <c r="B44" s="157" t="s">
        <v>49</v>
      </c>
      <c r="C44" s="158" t="s">
        <v>8</v>
      </c>
      <c r="D44" s="159" t="s">
        <v>9</v>
      </c>
      <c r="E44" s="160" t="s">
        <v>10</v>
      </c>
      <c r="F44" s="161" t="s">
        <v>11</v>
      </c>
      <c r="G44" s="104"/>
      <c r="H44" s="47"/>
      <c r="J44" s="104"/>
    </row>
    <row r="45" spans="1:11" x14ac:dyDescent="0.25">
      <c r="A45" s="24"/>
      <c r="B45" s="105" t="s">
        <v>50</v>
      </c>
      <c r="C45" s="162">
        <f>F45*D45</f>
        <v>12176.28</v>
      </c>
      <c r="D45" s="163">
        <v>1522035</v>
      </c>
      <c r="E45" s="164">
        <f>D45/$D$51</f>
        <v>0.74229967148386289</v>
      </c>
      <c r="F45" s="165">
        <v>8.0000000000000002E-3</v>
      </c>
      <c r="G45" s="166"/>
      <c r="H45" s="47">
        <f>-C45</f>
        <v>-12176.28</v>
      </c>
      <c r="I45" s="5" t="s">
        <v>51</v>
      </c>
      <c r="J45" s="166"/>
    </row>
    <row r="46" spans="1:11" x14ac:dyDescent="0.25">
      <c r="A46" s="24"/>
      <c r="B46" s="167" t="s">
        <v>52</v>
      </c>
      <c r="C46" s="168">
        <v>91891.1</v>
      </c>
      <c r="D46" s="135">
        <v>723552</v>
      </c>
      <c r="E46" s="164">
        <f>D46/$D$51</f>
        <v>0.35287783257381861</v>
      </c>
      <c r="F46" s="115">
        <f>C46/D46</f>
        <v>0.12699999447171731</v>
      </c>
      <c r="G46" s="133"/>
      <c r="H46" s="47">
        <f>-C46</f>
        <v>-91891.1</v>
      </c>
      <c r="I46" s="5" t="s">
        <v>53</v>
      </c>
      <c r="J46" s="133"/>
    </row>
    <row r="47" spans="1:11" x14ac:dyDescent="0.25">
      <c r="A47" s="24"/>
      <c r="B47" s="116" t="s">
        <v>54</v>
      </c>
      <c r="C47" s="168"/>
      <c r="D47" s="135"/>
      <c r="E47" s="164"/>
      <c r="F47" s="115"/>
      <c r="G47" s="133"/>
      <c r="H47" s="47">
        <f>-C47</f>
        <v>0</v>
      </c>
      <c r="I47" s="5" t="s">
        <v>53</v>
      </c>
      <c r="J47" s="133"/>
    </row>
    <row r="48" spans="1:11" x14ac:dyDescent="0.25">
      <c r="A48" s="24"/>
      <c r="B48" s="169" t="s">
        <v>55</v>
      </c>
      <c r="C48" s="134">
        <v>28712.270564300001</v>
      </c>
      <c r="D48" s="135">
        <v>1948340</v>
      </c>
      <c r="E48" s="164">
        <f t="shared" ref="E48:E50" si="2">D48/$D$51</f>
        <v>0.95020951682377175</v>
      </c>
      <c r="F48" s="119">
        <f t="shared" ref="F48:F50" si="3">C48/D48</f>
        <v>1.4736786476846958E-2</v>
      </c>
      <c r="G48" s="133"/>
      <c r="H48" s="40">
        <f t="shared" ref="H48" si="4">-C48</f>
        <v>-28712.270564300001</v>
      </c>
      <c r="I48" s="5" t="s">
        <v>56</v>
      </c>
      <c r="J48" s="133"/>
    </row>
    <row r="49" spans="1:13" s="6" customFormat="1" x14ac:dyDescent="0.25">
      <c r="A49" s="24"/>
      <c r="B49" s="169" t="s">
        <v>57</v>
      </c>
      <c r="C49" s="170"/>
      <c r="D49" s="171"/>
      <c r="E49" s="164">
        <f t="shared" si="2"/>
        <v>0</v>
      </c>
      <c r="F49" s="115"/>
      <c r="G49" s="172"/>
      <c r="H49" s="40"/>
      <c r="I49" s="5" t="s">
        <v>58</v>
      </c>
      <c r="J49" s="172"/>
    </row>
    <row r="50" spans="1:13" s="6" customFormat="1" ht="16.5" thickBot="1" x14ac:dyDescent="0.3">
      <c r="A50" s="24"/>
      <c r="B50" s="169" t="s">
        <v>59</v>
      </c>
      <c r="C50" s="170">
        <v>2800</v>
      </c>
      <c r="D50" s="171">
        <v>102092</v>
      </c>
      <c r="E50" s="164">
        <f t="shared" si="2"/>
        <v>4.979048317622823E-2</v>
      </c>
      <c r="F50" s="173">
        <f t="shared" si="3"/>
        <v>2.7426242996512949E-2</v>
      </c>
      <c r="G50" s="172"/>
      <c r="H50" s="40"/>
      <c r="I50" s="5" t="s">
        <v>60</v>
      </c>
      <c r="J50" s="172"/>
    </row>
    <row r="51" spans="1:13" s="6" customFormat="1" ht="16.5" thickBot="1" x14ac:dyDescent="0.3">
      <c r="A51" s="24"/>
      <c r="B51" s="174" t="s">
        <v>43</v>
      </c>
      <c r="C51" s="175">
        <f>SUM(C45:C50)</f>
        <v>135579.65056430001</v>
      </c>
      <c r="D51" s="176">
        <f>D41</f>
        <v>2050432</v>
      </c>
      <c r="E51" s="177">
        <f>D51/D41</f>
        <v>1</v>
      </c>
      <c r="F51" s="178">
        <f>C51/D51</f>
        <v>6.6122480806142317E-2</v>
      </c>
      <c r="G51" s="127"/>
      <c r="H51" s="47"/>
      <c r="I51" s="5"/>
      <c r="J51" s="127"/>
    </row>
    <row r="52" spans="1:13" s="6" customFormat="1" ht="16.5" thickBot="1" x14ac:dyDescent="0.3">
      <c r="A52" s="24"/>
      <c r="B52" s="179" t="s">
        <v>12</v>
      </c>
      <c r="C52" s="180" t="s">
        <v>12</v>
      </c>
      <c r="D52" s="181" t="s">
        <v>12</v>
      </c>
      <c r="E52" s="182" t="s">
        <v>12</v>
      </c>
      <c r="F52" s="183" t="s">
        <v>12</v>
      </c>
      <c r="G52" s="184"/>
      <c r="H52" s="47"/>
      <c r="I52" s="5"/>
      <c r="J52" s="184"/>
    </row>
    <row r="53" spans="1:13" ht="16.5" thickBot="1" x14ac:dyDescent="0.3">
      <c r="A53" s="24"/>
      <c r="B53" s="185" t="s">
        <v>46</v>
      </c>
      <c r="C53" s="186">
        <f>+C39+C51</f>
        <v>703978.75682141609</v>
      </c>
      <c r="D53" s="187">
        <f>+D32</f>
        <v>2050432.42</v>
      </c>
      <c r="E53" s="177">
        <f>D53/D41</f>
        <v>1.0000002048348835</v>
      </c>
      <c r="F53" s="188">
        <f>+C53/D53</f>
        <v>0.34333185037203817</v>
      </c>
      <c r="G53" s="189"/>
      <c r="H53" s="47"/>
      <c r="J53" s="189"/>
    </row>
    <row r="54" spans="1:13" ht="16.5" thickBot="1" x14ac:dyDescent="0.3">
      <c r="A54" s="24"/>
      <c r="B54" s="190"/>
      <c r="C54" s="191">
        <v>0</v>
      </c>
      <c r="D54" s="192">
        <v>0</v>
      </c>
      <c r="E54" s="193"/>
      <c r="F54" s="194"/>
      <c r="G54" s="195"/>
      <c r="H54" s="47"/>
      <c r="J54" s="195"/>
    </row>
    <row r="55" spans="1:13" ht="16.5" thickBot="1" x14ac:dyDescent="0.3">
      <c r="A55" s="24">
        <v>0.33360598011269055</v>
      </c>
      <c r="B55" s="196" t="s">
        <v>61</v>
      </c>
      <c r="C55" s="197">
        <f>C21-C53-C54</f>
        <v>988901.70317858411</v>
      </c>
      <c r="D55" s="198">
        <f>+D53</f>
        <v>2050432.42</v>
      </c>
      <c r="E55" s="199">
        <f>D55/D41</f>
        <v>1.0000002048348835</v>
      </c>
      <c r="F55" s="200">
        <f>C55/D55</f>
        <v>0.48228934225424708</v>
      </c>
      <c r="G55" s="5"/>
      <c r="H55" s="201">
        <f>SUM(H7:H54)</f>
        <v>-642526.666821416</v>
      </c>
      <c r="I55" s="18" t="s">
        <v>62</v>
      </c>
      <c r="J55" s="202">
        <f>(H55/D55)*-1</f>
        <v>0.3133615429380579</v>
      </c>
      <c r="K55" s="5"/>
      <c r="L55" s="5"/>
      <c r="M55" s="5"/>
    </row>
    <row r="56" spans="1:13" x14ac:dyDescent="0.25">
      <c r="B56" s="203"/>
      <c r="C56" s="204"/>
      <c r="D56" s="203"/>
      <c r="E56" s="203"/>
      <c r="F56" s="203"/>
      <c r="G56" s="5"/>
      <c r="H56" s="201"/>
      <c r="I56" s="31" t="s">
        <v>63</v>
      </c>
      <c r="J56" s="5"/>
      <c r="K56" s="5"/>
      <c r="L56" s="5"/>
      <c r="M56" s="5"/>
    </row>
    <row r="57" spans="1:13" x14ac:dyDescent="0.25">
      <c r="B57" s="203"/>
      <c r="C57" s="204"/>
      <c r="D57" s="203"/>
      <c r="E57" s="203"/>
      <c r="F57" s="203"/>
      <c r="G57" s="5"/>
      <c r="H57" s="201">
        <f>+H56+H55</f>
        <v>-642526.666821416</v>
      </c>
      <c r="I57" s="31" t="s">
        <v>64</v>
      </c>
      <c r="J57" s="5"/>
      <c r="K57" s="5"/>
      <c r="L57" s="5"/>
      <c r="M57" s="5"/>
    </row>
    <row r="58" spans="1:13" x14ac:dyDescent="0.25">
      <c r="B58" s="203"/>
      <c r="C58" s="204"/>
      <c r="D58" s="203"/>
      <c r="E58" s="203"/>
      <c r="F58" s="203"/>
      <c r="G58" s="5"/>
      <c r="J58" s="5"/>
      <c r="K58" s="5"/>
      <c r="L58" s="5"/>
      <c r="M58" s="5"/>
    </row>
    <row r="59" spans="1:13" x14ac:dyDescent="0.25">
      <c r="B59" s="9"/>
      <c r="D59" s="205"/>
      <c r="E59" s="206"/>
      <c r="F59" s="207"/>
      <c r="G59" s="5"/>
      <c r="J59" s="207"/>
    </row>
    <row r="60" spans="1:13" x14ac:dyDescent="0.25">
      <c r="B60" s="9"/>
      <c r="C60" s="208" t="s">
        <v>65</v>
      </c>
      <c r="D60" s="208" t="s">
        <v>66</v>
      </c>
      <c r="E60" s="206"/>
      <c r="F60" s="207"/>
      <c r="G60" s="5"/>
      <c r="J60" s="207"/>
    </row>
    <row r="61" spans="1:13" x14ac:dyDescent="0.25">
      <c r="B61" s="5" t="s">
        <v>67</v>
      </c>
      <c r="C61" s="209">
        <f>SUM(H26:H47)</f>
        <v>-672466.48625711608</v>
      </c>
      <c r="D61" s="209"/>
      <c r="E61" s="87" t="s">
        <v>68</v>
      </c>
      <c r="G61" s="5"/>
    </row>
    <row r="62" spans="1:13" ht="15" x14ac:dyDescent="0.25">
      <c r="A62" s="5"/>
      <c r="B62" s="5" t="s">
        <v>69</v>
      </c>
      <c r="C62" s="47">
        <f>H50</f>
        <v>0</v>
      </c>
      <c r="D62" s="209"/>
      <c r="E62" s="87" t="s">
        <v>70</v>
      </c>
      <c r="F62" s="5"/>
      <c r="G62" s="5"/>
      <c r="H62" s="209"/>
      <c r="J62" s="5"/>
    </row>
    <row r="63" spans="1:13" ht="15" x14ac:dyDescent="0.25">
      <c r="A63" s="5"/>
      <c r="B63" s="5" t="s">
        <v>71</v>
      </c>
      <c r="C63" s="5"/>
      <c r="D63" s="209"/>
      <c r="E63" s="87" t="s">
        <v>68</v>
      </c>
      <c r="F63" s="5"/>
      <c r="G63" s="5"/>
      <c r="H63" s="209"/>
      <c r="J63" s="5"/>
    </row>
    <row r="64" spans="1:13" ht="15" x14ac:dyDescent="0.25">
      <c r="A64" s="5"/>
      <c r="B64" s="5" t="s">
        <v>72</v>
      </c>
      <c r="C64" s="209">
        <f>SUM(H9:H19)</f>
        <v>58652.090000000004</v>
      </c>
      <c r="D64" s="209"/>
      <c r="E64" s="5"/>
      <c r="F64" s="5"/>
      <c r="G64" s="5"/>
      <c r="J64" s="5"/>
    </row>
    <row r="65" spans="1:10" ht="15" x14ac:dyDescent="0.25">
      <c r="A65" s="5"/>
      <c r="B65" s="5" t="s">
        <v>73</v>
      </c>
      <c r="C65" s="209">
        <v>193097.73</v>
      </c>
      <c r="D65" s="209">
        <v>155475.71000000002</v>
      </c>
      <c r="E65" s="210" t="s">
        <v>74</v>
      </c>
      <c r="F65" s="211"/>
      <c r="G65" s="5"/>
      <c r="J65" s="5"/>
    </row>
    <row r="66" spans="1:10" ht="15" x14ac:dyDescent="0.25">
      <c r="A66" s="5"/>
      <c r="B66" s="212" t="s">
        <v>75</v>
      </c>
      <c r="C66" s="213">
        <f>SUM(C61:C65)</f>
        <v>-420716.66625711613</v>
      </c>
      <c r="D66" s="213">
        <f>SUM(D61:D65)</f>
        <v>155475.71000000002</v>
      </c>
      <c r="E66" s="5"/>
      <c r="F66" s="5"/>
      <c r="G66" s="5"/>
      <c r="J66" s="5"/>
    </row>
    <row r="67" spans="1:10" ht="15" x14ac:dyDescent="0.25">
      <c r="A67" s="5"/>
      <c r="B67" s="5"/>
      <c r="C67" s="5"/>
      <c r="D67" s="5"/>
      <c r="E67" s="5"/>
      <c r="F67" s="5"/>
      <c r="G67" s="5"/>
      <c r="J67" s="5"/>
    </row>
    <row r="68" spans="1:10" ht="15" x14ac:dyDescent="0.25">
      <c r="A68" s="5"/>
      <c r="B68" s="5"/>
      <c r="C68" s="5"/>
      <c r="D68" s="5"/>
      <c r="E68" s="5"/>
      <c r="F68" s="5"/>
      <c r="G68" s="5"/>
      <c r="J68" s="5"/>
    </row>
    <row r="69" spans="1:10" ht="15" x14ac:dyDescent="0.25">
      <c r="A69" s="5"/>
      <c r="B69" s="5"/>
      <c r="C69" s="5"/>
      <c r="D69" s="213"/>
      <c r="E69" s="214"/>
      <c r="F69" s="5"/>
      <c r="G69" s="5"/>
      <c r="J69" s="5"/>
    </row>
    <row r="70" spans="1:10" ht="15" x14ac:dyDescent="0.25">
      <c r="A70" s="5"/>
      <c r="B70" s="5"/>
      <c r="C70" s="5"/>
      <c r="D70" s="5"/>
      <c r="E70" s="5"/>
      <c r="F70" s="5"/>
      <c r="G70" s="5"/>
      <c r="J70" s="5"/>
    </row>
    <row r="71" spans="1:10" ht="15" x14ac:dyDescent="0.25">
      <c r="A71" s="5"/>
      <c r="B71" s="5"/>
      <c r="C71" s="5"/>
      <c r="D71" s="5"/>
      <c r="E71" s="5"/>
      <c r="F71" s="5"/>
      <c r="G71" s="5"/>
      <c r="J71" s="5"/>
    </row>
    <row r="72" spans="1:10" ht="15" x14ac:dyDescent="0.25">
      <c r="A72" s="5"/>
      <c r="B72" s="215"/>
      <c r="C72" s="209"/>
      <c r="D72" s="5"/>
      <c r="E72" s="87"/>
      <c r="F72" s="5"/>
      <c r="G72" s="5"/>
      <c r="J72" s="5"/>
    </row>
    <row r="73" spans="1:10" ht="15" x14ac:dyDescent="0.25">
      <c r="A73" s="5"/>
      <c r="B73" s="5"/>
      <c r="C73" s="216"/>
      <c r="D73" s="5"/>
      <c r="E73" s="87"/>
      <c r="F73" s="5"/>
      <c r="G73" s="5"/>
      <c r="J73" s="5"/>
    </row>
    <row r="74" spans="1:10" ht="15" x14ac:dyDescent="0.25">
      <c r="A74" s="5"/>
      <c r="B74" s="5"/>
      <c r="C74" s="5"/>
      <c r="D74" s="5"/>
      <c r="E74" s="5"/>
      <c r="F74" s="5"/>
      <c r="G74" s="5"/>
      <c r="J74" s="5"/>
    </row>
    <row r="75" spans="1:10" ht="15" x14ac:dyDescent="0.25">
      <c r="A75" s="5"/>
      <c r="B75" s="5" t="s">
        <v>76</v>
      </c>
      <c r="C75" s="217">
        <f>-C66-D66</f>
        <v>265240.95625711611</v>
      </c>
      <c r="D75" s="218" t="s">
        <v>77</v>
      </c>
      <c r="E75" s="87"/>
      <c r="F75" s="5"/>
      <c r="G75" s="5"/>
      <c r="J75" s="5"/>
    </row>
    <row r="76" spans="1:10" ht="15" x14ac:dyDescent="0.25">
      <c r="A76" s="5"/>
      <c r="B76" s="215"/>
      <c r="C76" s="5"/>
      <c r="D76" s="5"/>
      <c r="E76" s="5"/>
      <c r="F76" s="5"/>
      <c r="G76" s="5"/>
      <c r="J76" s="5"/>
    </row>
    <row r="77" spans="1:10" ht="15" x14ac:dyDescent="0.25">
      <c r="A77" s="5"/>
      <c r="B77" s="5"/>
      <c r="C77" s="5"/>
      <c r="D77" s="5"/>
      <c r="E77" s="5"/>
      <c r="F77" s="5"/>
      <c r="G77" s="5"/>
      <c r="J77" s="5"/>
    </row>
    <row r="78" spans="1:10" ht="15" x14ac:dyDescent="0.25">
      <c r="A78" s="5"/>
      <c r="B78" s="5" t="s">
        <v>78</v>
      </c>
      <c r="C78" s="219"/>
      <c r="D78" s="220" t="s">
        <v>79</v>
      </c>
      <c r="E78" s="220" t="s">
        <v>80</v>
      </c>
      <c r="F78" s="5"/>
      <c r="G78" s="5"/>
      <c r="J78" s="5"/>
    </row>
    <row r="79" spans="1:10" ht="15" x14ac:dyDescent="0.25">
      <c r="A79" s="5"/>
      <c r="B79" s="5" t="s">
        <v>81</v>
      </c>
      <c r="C79" s="209">
        <v>302988.89999999997</v>
      </c>
      <c r="D79" s="221" t="s">
        <v>82</v>
      </c>
      <c r="E79" s="222">
        <v>1009963</v>
      </c>
      <c r="F79" s="5"/>
      <c r="G79" s="5"/>
      <c r="J79" s="5"/>
    </row>
    <row r="80" spans="1:10" ht="15" x14ac:dyDescent="0.25">
      <c r="A80" s="5"/>
      <c r="B80" s="5" t="s">
        <v>83</v>
      </c>
      <c r="C80" s="209">
        <v>0</v>
      </c>
      <c r="D80" s="5" t="s">
        <v>84</v>
      </c>
      <c r="E80" s="5"/>
      <c r="F80" s="5"/>
      <c r="G80" s="5"/>
      <c r="J80" s="5"/>
    </row>
    <row r="81" spans="1:13" ht="15" x14ac:dyDescent="0.25">
      <c r="A81" s="5"/>
      <c r="B81" s="212" t="s">
        <v>85</v>
      </c>
      <c r="C81" s="216">
        <f>+C78+C80-C79</f>
        <v>-302988.89999999997</v>
      </c>
      <c r="D81" s="5"/>
      <c r="E81" s="5"/>
      <c r="F81" s="5"/>
      <c r="G81" s="5"/>
      <c r="J81" s="5"/>
    </row>
    <row r="82" spans="1:13" ht="15" x14ac:dyDescent="0.25">
      <c r="A82" s="5"/>
      <c r="B82" s="5"/>
      <c r="C82" s="5"/>
      <c r="D82" s="5"/>
      <c r="E82" s="5"/>
      <c r="F82" s="5"/>
      <c r="G82" s="5"/>
      <c r="J82" s="5"/>
    </row>
    <row r="83" spans="1:13" ht="15" x14ac:dyDescent="0.25">
      <c r="A83" s="5"/>
      <c r="B83" s="223" t="s">
        <v>86</v>
      </c>
      <c r="C83" s="224">
        <f>+C75+C81</f>
        <v>-37747.943742883857</v>
      </c>
      <c r="D83" s="5"/>
      <c r="E83" s="5"/>
      <c r="F83" s="5"/>
      <c r="G83" s="5"/>
      <c r="J83" s="5"/>
    </row>
    <row r="84" spans="1:13" ht="15" x14ac:dyDescent="0.25">
      <c r="A84" s="5"/>
      <c r="B84" s="5"/>
      <c r="C84" s="5"/>
      <c r="D84" s="5"/>
      <c r="E84" s="5"/>
      <c r="F84" s="5"/>
      <c r="G84" s="5"/>
      <c r="J84" s="5"/>
    </row>
    <row r="85" spans="1:13" ht="15" x14ac:dyDescent="0.25">
      <c r="A85" s="5"/>
      <c r="B85" s="5"/>
      <c r="C85" s="5"/>
      <c r="D85" s="5"/>
      <c r="E85" s="5"/>
      <c r="F85" s="5"/>
      <c r="G85" s="5"/>
      <c r="J85" s="5"/>
    </row>
    <row r="86" spans="1:13" ht="15" x14ac:dyDescent="0.25">
      <c r="A86" s="5"/>
      <c r="B86" s="5"/>
      <c r="C86" s="5"/>
      <c r="D86" s="5"/>
      <c r="E86" s="5"/>
      <c r="F86" s="5"/>
      <c r="G86" s="5"/>
      <c r="J86" s="5"/>
    </row>
    <row r="87" spans="1:13" ht="15" x14ac:dyDescent="0.25">
      <c r="A87" s="5"/>
      <c r="B87" s="5"/>
      <c r="C87" s="5"/>
      <c r="D87" s="225" t="s">
        <v>87</v>
      </c>
      <c r="E87" s="225" t="s">
        <v>88</v>
      </c>
      <c r="F87" s="225" t="s">
        <v>89</v>
      </c>
      <c r="G87" s="226" t="s">
        <v>90</v>
      </c>
      <c r="H87" s="225" t="s">
        <v>91</v>
      </c>
      <c r="I87" s="225" t="s">
        <v>92</v>
      </c>
      <c r="J87" s="225" t="s">
        <v>93</v>
      </c>
      <c r="K87" s="227" t="s">
        <v>94</v>
      </c>
    </row>
    <row r="88" spans="1:13" ht="15" x14ac:dyDescent="0.25">
      <c r="A88" s="5"/>
      <c r="B88" s="641" t="s">
        <v>95</v>
      </c>
      <c r="C88" s="642"/>
      <c r="D88" s="643">
        <f>K11</f>
        <v>0.74581015122666838</v>
      </c>
      <c r="E88" s="644"/>
      <c r="F88" s="644"/>
      <c r="G88" s="644"/>
      <c r="H88" s="645"/>
      <c r="I88" s="628">
        <f>1-D88</f>
        <v>0.25418984877333162</v>
      </c>
      <c r="J88" s="629"/>
      <c r="K88" s="630"/>
      <c r="L88" s="228">
        <f>SUM(D88:K88)</f>
        <v>1</v>
      </c>
    </row>
    <row r="89" spans="1:13" thickBot="1" x14ac:dyDescent="0.3">
      <c r="A89" s="5"/>
      <c r="B89" s="212"/>
      <c r="C89" s="213"/>
      <c r="D89" s="5"/>
      <c r="E89" s="5"/>
      <c r="F89" s="5"/>
      <c r="G89" s="5"/>
      <c r="J89" s="5"/>
    </row>
    <row r="90" spans="1:13" ht="15" x14ac:dyDescent="0.25">
      <c r="A90" s="5"/>
      <c r="B90" s="229" t="s">
        <v>96</v>
      </c>
      <c r="C90" s="230">
        <v>2050432</v>
      </c>
      <c r="D90" s="230">
        <v>0</v>
      </c>
      <c r="E90" s="230">
        <v>213328.03656387329</v>
      </c>
      <c r="F90" s="230">
        <v>605850.48924000002</v>
      </c>
      <c r="G90" s="230">
        <v>695222.44750000013</v>
      </c>
      <c r="H90" s="230">
        <v>118400.0868</v>
      </c>
      <c r="I90" s="230">
        <v>78472.654183000035</v>
      </c>
      <c r="J90" s="230">
        <v>0</v>
      </c>
      <c r="K90" s="230">
        <v>339158.27814483643</v>
      </c>
    </row>
    <row r="91" spans="1:13" ht="15" x14ac:dyDescent="0.25">
      <c r="A91" s="5"/>
      <c r="B91" s="231"/>
      <c r="C91" s="7"/>
      <c r="D91" s="232">
        <v>0</v>
      </c>
      <c r="E91" s="232">
        <v>0.1040405322214408</v>
      </c>
      <c r="F91" s="232">
        <v>0.29547455816140211</v>
      </c>
      <c r="G91" s="232">
        <v>0.33906145022122175</v>
      </c>
      <c r="H91" s="232">
        <v>5.7743971416755108E-2</v>
      </c>
      <c r="I91" s="232">
        <v>3.8271278532036192E-2</v>
      </c>
      <c r="J91" s="232">
        <v>0</v>
      </c>
      <c r="K91" s="233">
        <v>0.16540820575607307</v>
      </c>
    </row>
    <row r="92" spans="1:13" thickBot="1" x14ac:dyDescent="0.3">
      <c r="A92" s="5"/>
      <c r="B92" s="631" t="s">
        <v>96</v>
      </c>
      <c r="C92" s="632"/>
      <c r="D92" s="633">
        <f>SUM(D91:H91)</f>
        <v>0.79632051202081988</v>
      </c>
      <c r="E92" s="634"/>
      <c r="F92" s="634"/>
      <c r="G92" s="634"/>
      <c r="H92" s="635"/>
      <c r="I92" s="636">
        <f>SUM(I91:K91)</f>
        <v>0.20367948428810925</v>
      </c>
      <c r="J92" s="637"/>
      <c r="K92" s="638"/>
      <c r="L92" s="228">
        <f>SUM(D92:K92)</f>
        <v>0.99999999630892911</v>
      </c>
      <c r="M92" s="5"/>
    </row>
    <row r="93" spans="1:13" thickBot="1" x14ac:dyDescent="0.3">
      <c r="A93" s="5"/>
      <c r="B93" s="234"/>
      <c r="C93" s="234"/>
      <c r="D93" s="639" t="s">
        <v>97</v>
      </c>
      <c r="E93" s="639"/>
      <c r="F93" s="639"/>
      <c r="G93" s="639"/>
      <c r="H93" s="639"/>
      <c r="I93" s="640" t="s">
        <v>98</v>
      </c>
      <c r="J93" s="640"/>
      <c r="K93" s="640"/>
      <c r="M93" s="5"/>
    </row>
    <row r="94" spans="1:13" ht="15" x14ac:dyDescent="0.25">
      <c r="A94" s="5"/>
      <c r="B94" s="624" t="s">
        <v>99</v>
      </c>
      <c r="C94" s="625"/>
      <c r="D94" s="626">
        <v>0.87240635711311232</v>
      </c>
      <c r="E94" s="626"/>
      <c r="F94" s="626"/>
      <c r="G94" s="626"/>
      <c r="H94" s="626"/>
      <c r="I94" s="627">
        <v>0.12759364234367609</v>
      </c>
      <c r="J94" s="627"/>
      <c r="K94" s="627"/>
      <c r="L94" s="228">
        <f>SUM(D94:K94)</f>
        <v>0.99999999945678841</v>
      </c>
      <c r="M94" s="5"/>
    </row>
    <row r="95" spans="1:13" thickBot="1" x14ac:dyDescent="0.3">
      <c r="A95" s="5"/>
      <c r="B95" s="235"/>
      <c r="C95" s="5"/>
      <c r="D95" s="232">
        <v>3.024675248612884E-2</v>
      </c>
      <c r="E95" s="232">
        <v>0.13539353992389833</v>
      </c>
      <c r="F95" s="232">
        <v>0.24937566780816983</v>
      </c>
      <c r="G95" s="232">
        <v>0.36521894754166201</v>
      </c>
      <c r="H95" s="232">
        <v>9.217144935325336E-2</v>
      </c>
      <c r="I95" s="232">
        <v>2.7336841545712115E-2</v>
      </c>
      <c r="J95" s="232">
        <v>1.7032114255987295E-2</v>
      </c>
      <c r="K95" s="233">
        <v>8.3224686541976692E-2</v>
      </c>
      <c r="L95" s="5"/>
      <c r="M95" s="5"/>
    </row>
    <row r="96" spans="1:13" ht="16.5" thickBot="1" x14ac:dyDescent="0.3">
      <c r="B96" s="236"/>
      <c r="C96" s="237">
        <v>13932504</v>
      </c>
      <c r="D96" s="237">
        <v>421413</v>
      </c>
      <c r="E96" s="237">
        <v>1886371.0365638733</v>
      </c>
      <c r="F96" s="237">
        <v>3474427.4892399972</v>
      </c>
      <c r="G96" s="237">
        <v>5088414.4474999961</v>
      </c>
      <c r="H96" s="237">
        <v>1284179.0867999999</v>
      </c>
      <c r="I96" s="237">
        <v>380870.65418300021</v>
      </c>
      <c r="J96" s="237">
        <v>237300</v>
      </c>
      <c r="K96" s="238">
        <v>1159528.2781448364</v>
      </c>
      <c r="L96" s="5"/>
      <c r="M96" s="5"/>
    </row>
    <row r="97" spans="6:10" x14ac:dyDescent="0.25">
      <c r="F97" s="5"/>
      <c r="G97" s="5"/>
      <c r="J97" s="5"/>
    </row>
    <row r="98" spans="6:10" x14ac:dyDescent="0.25">
      <c r="F98" s="5"/>
      <c r="G98" s="5"/>
      <c r="J98" s="5"/>
    </row>
    <row r="99" spans="6:10" x14ac:dyDescent="0.25">
      <c r="F99" s="5"/>
      <c r="G99" s="5"/>
      <c r="J99" s="5"/>
    </row>
  </sheetData>
  <mergeCells count="16">
    <mergeCell ref="B5:B6"/>
    <mergeCell ref="C5:F5"/>
    <mergeCell ref="B24:B25"/>
    <mergeCell ref="C24:F24"/>
    <mergeCell ref="C43:F43"/>
    <mergeCell ref="B94:C94"/>
    <mergeCell ref="D94:H94"/>
    <mergeCell ref="I94:K94"/>
    <mergeCell ref="I88:K88"/>
    <mergeCell ref="B92:C92"/>
    <mergeCell ref="D92:H92"/>
    <mergeCell ref="I92:K92"/>
    <mergeCell ref="D93:H93"/>
    <mergeCell ref="I93:K93"/>
    <mergeCell ref="B88:C88"/>
    <mergeCell ref="D88:H8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DCBA-BDDC-4335-A105-F42DD537033B}">
  <dimension ref="B1:R72"/>
  <sheetViews>
    <sheetView tabSelected="1" workbookViewId="0">
      <selection activeCell="I6" sqref="I6:I18"/>
    </sheetView>
  </sheetViews>
  <sheetFormatPr baseColWidth="10" defaultRowHeight="15" x14ac:dyDescent="0.25"/>
  <cols>
    <col min="4" max="4" width="13.140625" bestFit="1" customWidth="1"/>
    <col min="5" max="5" width="9.42578125" bestFit="1" customWidth="1"/>
    <col min="6" max="6" width="15" bestFit="1" customWidth="1"/>
    <col min="10" max="10" width="13.85546875" customWidth="1"/>
    <col min="14" max="14" width="13" bestFit="1" customWidth="1"/>
    <col min="16" max="16" width="15" bestFit="1" customWidth="1"/>
    <col min="17" max="17" width="19.85546875" customWidth="1"/>
    <col min="20" max="20" width="12.85546875" customWidth="1"/>
  </cols>
  <sheetData>
    <row r="1" spans="2:16" ht="15.75" thickBot="1" x14ac:dyDescent="0.3"/>
    <row r="2" spans="2:16" x14ac:dyDescent="0.25">
      <c r="B2" s="239"/>
      <c r="C2" s="240" t="s">
        <v>12</v>
      </c>
      <c r="D2" s="241"/>
      <c r="E2" s="241"/>
      <c r="F2" s="242"/>
      <c r="G2" s="243"/>
      <c r="H2" s="244" t="s">
        <v>100</v>
      </c>
      <c r="I2" s="244" t="s">
        <v>100</v>
      </c>
      <c r="J2" s="245" t="s">
        <v>101</v>
      </c>
      <c r="K2" s="244" t="s">
        <v>100</v>
      </c>
      <c r="L2" s="246"/>
      <c r="M2" s="247"/>
      <c r="N2" s="247"/>
    </row>
    <row r="3" spans="2:16" x14ac:dyDescent="0.25">
      <c r="B3" s="248" t="s">
        <v>102</v>
      </c>
      <c r="C3" s="249"/>
      <c r="D3" s="250" t="s">
        <v>103</v>
      </c>
      <c r="E3" s="250" t="s">
        <v>10</v>
      </c>
      <c r="F3" s="251" t="s">
        <v>104</v>
      </c>
      <c r="G3" s="243"/>
      <c r="H3" s="252" t="s">
        <v>105</v>
      </c>
      <c r="I3" s="252" t="s">
        <v>106</v>
      </c>
      <c r="J3" s="253" t="s">
        <v>107</v>
      </c>
      <c r="K3" s="252" t="s">
        <v>108</v>
      </c>
      <c r="L3" s="246"/>
      <c r="M3" s="254" t="s">
        <v>109</v>
      </c>
      <c r="N3" s="254" t="s">
        <v>14</v>
      </c>
    </row>
    <row r="4" spans="2:16" ht="15.75" thickBot="1" x14ac:dyDescent="0.3">
      <c r="B4" s="255" t="s">
        <v>12</v>
      </c>
      <c r="C4" s="256" t="s">
        <v>12</v>
      </c>
      <c r="D4" s="257" t="s">
        <v>12</v>
      </c>
      <c r="E4" s="257"/>
      <c r="F4" s="258" t="s">
        <v>12</v>
      </c>
      <c r="G4" s="243"/>
      <c r="H4" s="259" t="s">
        <v>12</v>
      </c>
      <c r="I4" s="259" t="s">
        <v>12</v>
      </c>
      <c r="J4" s="260"/>
      <c r="K4" s="259" t="s">
        <v>12</v>
      </c>
      <c r="L4" s="261"/>
      <c r="M4" s="262" t="s">
        <v>12</v>
      </c>
      <c r="N4" s="262"/>
    </row>
    <row r="5" spans="2:16" ht="15.75" thickBot="1" x14ac:dyDescent="0.3">
      <c r="B5" s="263"/>
      <c r="C5" s="264"/>
      <c r="D5" s="264"/>
      <c r="E5" s="264"/>
      <c r="F5" s="265"/>
      <c r="G5" s="243"/>
      <c r="H5" s="266"/>
      <c r="I5" s="266"/>
      <c r="J5" s="266" t="s">
        <v>110</v>
      </c>
      <c r="K5" s="267"/>
      <c r="L5" s="268"/>
      <c r="M5" s="269"/>
    </row>
    <row r="6" spans="2:16" ht="15.75" thickBot="1" x14ac:dyDescent="0.3">
      <c r="B6" s="270" t="s">
        <v>111</v>
      </c>
      <c r="C6" s="271" t="s">
        <v>112</v>
      </c>
      <c r="D6" s="272">
        <v>111373.17635822296</v>
      </c>
      <c r="E6" s="273">
        <f>D6/$D$21</f>
        <v>7.0234384354500093E-2</v>
      </c>
      <c r="F6" s="274">
        <f>+I6*D6</f>
        <v>41558.335650574052</v>
      </c>
      <c r="G6" s="243"/>
      <c r="H6" s="275">
        <v>0</v>
      </c>
      <c r="I6" s="590">
        <v>0.37314492599999999</v>
      </c>
      <c r="J6" s="277"/>
      <c r="K6" s="278">
        <v>1.6E-2</v>
      </c>
      <c r="L6" s="279"/>
      <c r="M6" s="280">
        <f t="shared" ref="M6:M18" si="0">+H6+I6+K6</f>
        <v>0.389144926</v>
      </c>
      <c r="N6" s="281">
        <f>M6*D6</f>
        <v>43340.306472305623</v>
      </c>
    </row>
    <row r="7" spans="2:16" ht="15.75" thickBot="1" x14ac:dyDescent="0.3">
      <c r="B7" s="270" t="s">
        <v>113</v>
      </c>
      <c r="C7" s="271">
        <v>0.75</v>
      </c>
      <c r="D7" s="272">
        <v>13153.359802246094</v>
      </c>
      <c r="E7" s="273">
        <f t="shared" ref="E7:E18" si="1">D7/$D$21</f>
        <v>8.2947991438494673E-3</v>
      </c>
      <c r="F7" s="274">
        <f t="shared" ref="F7:F20" si="2">+I7*D7</f>
        <v>8378.0767213295858</v>
      </c>
      <c r="G7" s="243" t="s">
        <v>12</v>
      </c>
      <c r="H7" s="282">
        <v>0</v>
      </c>
      <c r="I7" s="590">
        <v>0.63695336000000002</v>
      </c>
      <c r="J7" s="277"/>
      <c r="K7" s="278">
        <v>1.6E-2</v>
      </c>
      <c r="L7" s="279"/>
      <c r="M7" s="280">
        <f t="shared" si="0"/>
        <v>0.65295336000000004</v>
      </c>
      <c r="N7" s="281">
        <f t="shared" ref="N7:N25" si="3">M7*D7</f>
        <v>8588.5304781655232</v>
      </c>
      <c r="P7" s="283"/>
    </row>
    <row r="8" spans="2:16" ht="15.75" thickBot="1" x14ac:dyDescent="0.3">
      <c r="B8" s="270" t="s">
        <v>114</v>
      </c>
      <c r="C8" s="271">
        <v>10</v>
      </c>
      <c r="D8" s="284">
        <v>19617.017039999999</v>
      </c>
      <c r="E8" s="273">
        <f t="shared" si="1"/>
        <v>1.2370924128486635E-2</v>
      </c>
      <c r="F8" s="274">
        <f t="shared" si="2"/>
        <v>6494.5430569782711</v>
      </c>
      <c r="G8" s="243"/>
      <c r="H8" s="282">
        <v>0</v>
      </c>
      <c r="I8" s="590">
        <v>0.33106679999999999</v>
      </c>
      <c r="J8" s="277"/>
      <c r="K8" s="278">
        <v>1.6E-2</v>
      </c>
      <c r="L8" s="279"/>
      <c r="M8" s="280">
        <f t="shared" si="0"/>
        <v>0.34706680000000001</v>
      </c>
      <c r="N8" s="281">
        <f t="shared" si="3"/>
        <v>6808.4153296182722</v>
      </c>
      <c r="P8" s="283"/>
    </row>
    <row r="9" spans="2:16" ht="15.75" thickBot="1" x14ac:dyDescent="0.3">
      <c r="B9" s="270" t="s">
        <v>115</v>
      </c>
      <c r="C9" s="271">
        <v>7</v>
      </c>
      <c r="D9" s="284">
        <v>105365</v>
      </c>
      <c r="E9" s="273">
        <f t="shared" si="1"/>
        <v>6.6445495670426069E-2</v>
      </c>
      <c r="F9" s="274">
        <f t="shared" si="2"/>
        <v>37672.939655000002</v>
      </c>
      <c r="G9" s="243"/>
      <c r="H9" s="282">
        <v>0</v>
      </c>
      <c r="I9" s="590">
        <v>0.357547</v>
      </c>
      <c r="J9" s="277"/>
      <c r="K9" s="278">
        <v>1.6E-2</v>
      </c>
      <c r="L9" s="279"/>
      <c r="M9" s="280">
        <f t="shared" si="0"/>
        <v>0.37354700000000002</v>
      </c>
      <c r="N9" s="281">
        <f t="shared" si="3"/>
        <v>39358.779654999998</v>
      </c>
      <c r="P9" s="283"/>
    </row>
    <row r="10" spans="2:16" ht="15.75" thickBot="1" x14ac:dyDescent="0.3">
      <c r="B10" s="270" t="s">
        <v>115</v>
      </c>
      <c r="C10" s="271">
        <v>10</v>
      </c>
      <c r="D10" s="284">
        <v>118362.929</v>
      </c>
      <c r="E10" s="273">
        <f t="shared" si="1"/>
        <v>7.4642276718155445E-2</v>
      </c>
      <c r="F10" s="274">
        <f t="shared" si="2"/>
        <v>37266.804921508003</v>
      </c>
      <c r="G10" s="243"/>
      <c r="H10" s="282">
        <v>0</v>
      </c>
      <c r="I10" s="590">
        <v>0.31485200000000002</v>
      </c>
      <c r="J10" s="277"/>
      <c r="K10" s="278">
        <v>1.6E-2</v>
      </c>
      <c r="L10" s="279"/>
      <c r="M10" s="280">
        <f t="shared" si="0"/>
        <v>0.33085200000000003</v>
      </c>
      <c r="N10" s="281">
        <f t="shared" si="3"/>
        <v>39160.611785508008</v>
      </c>
      <c r="P10" s="283"/>
    </row>
    <row r="11" spans="2:16" ht="15.75" thickBot="1" x14ac:dyDescent="0.3">
      <c r="B11" s="270" t="s">
        <v>115</v>
      </c>
      <c r="C11" s="271">
        <v>12</v>
      </c>
      <c r="D11" s="272">
        <v>48911.559448242188</v>
      </c>
      <c r="E11" s="273">
        <f t="shared" si="1"/>
        <v>3.0844709453347538E-2</v>
      </c>
      <c r="F11" s="274">
        <f t="shared" si="2"/>
        <v>13891.675250563843</v>
      </c>
      <c r="G11" s="243"/>
      <c r="H11" s="282">
        <v>0</v>
      </c>
      <c r="I11" s="590">
        <v>0.2840162</v>
      </c>
      <c r="J11" s="277"/>
      <c r="K11" s="278">
        <v>1.6E-2</v>
      </c>
      <c r="L11" s="279"/>
      <c r="M11" s="280">
        <f t="shared" si="0"/>
        <v>0.30001620000000001</v>
      </c>
      <c r="N11" s="281">
        <f t="shared" si="3"/>
        <v>14674.260201735719</v>
      </c>
      <c r="P11" s="285"/>
    </row>
    <row r="12" spans="2:16" ht="15.75" thickBot="1" x14ac:dyDescent="0.3">
      <c r="B12" s="270" t="s">
        <v>115</v>
      </c>
      <c r="C12" s="271">
        <v>15</v>
      </c>
      <c r="D12" s="272">
        <v>145443.55262851715</v>
      </c>
      <c r="E12" s="273">
        <f t="shared" si="1"/>
        <v>9.1719915972756819E-2</v>
      </c>
      <c r="F12" s="274">
        <f t="shared" si="2"/>
        <v>37784.893696615021</v>
      </c>
      <c r="G12" s="243"/>
      <c r="H12" s="282">
        <v>0</v>
      </c>
      <c r="I12" s="590">
        <v>0.25979077802866135</v>
      </c>
      <c r="J12" s="277"/>
      <c r="K12" s="278">
        <v>1.6E-2</v>
      </c>
      <c r="L12" s="279"/>
      <c r="M12" s="280">
        <f t="shared" si="0"/>
        <v>0.27579077802866137</v>
      </c>
      <c r="N12" s="281">
        <f t="shared" si="3"/>
        <v>40111.9905386713</v>
      </c>
      <c r="P12" s="285"/>
    </row>
    <row r="13" spans="2:16" ht="15.75" thickBot="1" x14ac:dyDescent="0.3">
      <c r="B13" s="270" t="s">
        <v>116</v>
      </c>
      <c r="C13" s="271">
        <v>0.75</v>
      </c>
      <c r="D13" s="272">
        <v>34673.879058837891</v>
      </c>
      <c r="E13" s="273">
        <f t="shared" si="1"/>
        <v>2.1866113803263799E-2</v>
      </c>
      <c r="F13" s="274">
        <f t="shared" si="2"/>
        <v>11541.131296976073</v>
      </c>
      <c r="G13" s="243"/>
      <c r="H13" s="282">
        <v>0</v>
      </c>
      <c r="I13" s="590">
        <v>0.33284799999999998</v>
      </c>
      <c r="J13" s="277"/>
      <c r="K13" s="278">
        <v>1.6E-2</v>
      </c>
      <c r="L13" s="279"/>
      <c r="M13" s="280">
        <f t="shared" si="0"/>
        <v>0.34884799999999999</v>
      </c>
      <c r="N13" s="281">
        <f t="shared" si="3"/>
        <v>12095.913361917481</v>
      </c>
      <c r="P13" s="285"/>
    </row>
    <row r="14" spans="2:16" ht="15.75" thickBot="1" x14ac:dyDescent="0.3">
      <c r="B14" s="270" t="s">
        <v>117</v>
      </c>
      <c r="C14" s="271">
        <v>2</v>
      </c>
      <c r="D14" s="284">
        <v>29767.239689999999</v>
      </c>
      <c r="E14" s="273">
        <f t="shared" si="1"/>
        <v>1.8771878668840981E-2</v>
      </c>
      <c r="F14" s="274">
        <f t="shared" si="2"/>
        <v>8346.8018197011843</v>
      </c>
      <c r="G14" s="243"/>
      <c r="H14" s="282">
        <v>0</v>
      </c>
      <c r="I14" s="590">
        <v>0.28040227802866141</v>
      </c>
      <c r="J14" s="277"/>
      <c r="K14" s="278">
        <v>1.6E-2</v>
      </c>
      <c r="L14" s="279"/>
      <c r="M14" s="280">
        <f t="shared" si="0"/>
        <v>0.29640227802866143</v>
      </c>
      <c r="N14" s="286">
        <f t="shared" si="3"/>
        <v>8823.0776547411842</v>
      </c>
      <c r="P14" s="285"/>
    </row>
    <row r="15" spans="2:16" ht="15.75" thickBot="1" x14ac:dyDescent="0.3">
      <c r="B15" s="270" t="s">
        <v>114</v>
      </c>
      <c r="C15" s="271">
        <v>2</v>
      </c>
      <c r="D15" s="284">
        <v>3423.426046</v>
      </c>
      <c r="E15" s="273">
        <f t="shared" si="1"/>
        <v>2.1588880607176656E-3</v>
      </c>
      <c r="F15" s="274">
        <f t="shared" si="2"/>
        <v>1861.0516928169866</v>
      </c>
      <c r="G15" s="243"/>
      <c r="H15" s="282">
        <v>0</v>
      </c>
      <c r="I15" s="590">
        <v>0.54362257802866132</v>
      </c>
      <c r="J15" s="277"/>
      <c r="K15" s="278">
        <v>1.6E-2</v>
      </c>
      <c r="L15" s="279"/>
      <c r="M15" s="280">
        <f t="shared" si="0"/>
        <v>0.55962257802866133</v>
      </c>
      <c r="N15" s="287">
        <f t="shared" si="3"/>
        <v>1915.8265095529866</v>
      </c>
      <c r="P15" s="285"/>
    </row>
    <row r="16" spans="2:16" ht="15.75" thickBot="1" x14ac:dyDescent="0.3">
      <c r="B16" s="270" t="s">
        <v>118</v>
      </c>
      <c r="C16" s="271">
        <v>1</v>
      </c>
      <c r="D16" s="284">
        <v>776694.75450000004</v>
      </c>
      <c r="E16" s="273">
        <f t="shared" si="1"/>
        <v>0.4898008631649256</v>
      </c>
      <c r="F16" s="274">
        <f t="shared" si="2"/>
        <v>247806.79150748849</v>
      </c>
      <c r="G16" s="243"/>
      <c r="H16" s="282">
        <v>0</v>
      </c>
      <c r="I16" s="590">
        <v>0.31905299999999998</v>
      </c>
      <c r="J16" s="277"/>
      <c r="K16" s="278">
        <v>1.6E-2</v>
      </c>
      <c r="L16" s="279"/>
      <c r="M16" s="280">
        <f t="shared" si="0"/>
        <v>0.33505299999999999</v>
      </c>
      <c r="N16" s="287">
        <f t="shared" si="3"/>
        <v>260233.9075794885</v>
      </c>
      <c r="P16" s="285"/>
    </row>
    <row r="17" spans="2:18" ht="15.75" thickBot="1" x14ac:dyDescent="0.3">
      <c r="B17" s="270" t="s">
        <v>118</v>
      </c>
      <c r="C17" s="271">
        <v>1.5</v>
      </c>
      <c r="D17" s="284">
        <v>139943.64869999999</v>
      </c>
      <c r="E17" s="273">
        <f t="shared" si="1"/>
        <v>8.8251555106529447E-2</v>
      </c>
      <c r="F17" s="274">
        <f t="shared" si="2"/>
        <v>43888.427387050491</v>
      </c>
      <c r="G17" s="243"/>
      <c r="H17" s="282">
        <v>0</v>
      </c>
      <c r="I17" s="590">
        <v>0.31361499999999998</v>
      </c>
      <c r="J17" s="277"/>
      <c r="K17" s="278">
        <v>1.6E-2</v>
      </c>
      <c r="L17" s="279"/>
      <c r="M17" s="280">
        <f t="shared" si="0"/>
        <v>0.32961499999999999</v>
      </c>
      <c r="N17" s="287">
        <f t="shared" si="3"/>
        <v>46127.525766250496</v>
      </c>
    </row>
    <row r="18" spans="2:18" ht="15.75" thickBot="1" x14ac:dyDescent="0.3">
      <c r="B18" s="288" t="s">
        <v>118</v>
      </c>
      <c r="C18" s="289">
        <v>0.65</v>
      </c>
      <c r="D18" s="290">
        <v>39006.239166259766</v>
      </c>
      <c r="E18" s="291">
        <f t="shared" si="1"/>
        <v>2.459819575420032E-2</v>
      </c>
      <c r="F18" s="274">
        <f t="shared" si="2"/>
        <v>13340.433285883131</v>
      </c>
      <c r="G18" s="243"/>
      <c r="H18" s="282">
        <v>0</v>
      </c>
      <c r="I18" s="590">
        <v>0.34200767802866139</v>
      </c>
      <c r="J18" s="277"/>
      <c r="K18" s="278">
        <v>1.6E-2</v>
      </c>
      <c r="L18" s="279"/>
      <c r="M18" s="280">
        <f t="shared" si="0"/>
        <v>0.3580076780286614</v>
      </c>
      <c r="N18" s="287">
        <f>M18*D18</f>
        <v>13964.533112543288</v>
      </c>
    </row>
    <row r="19" spans="2:18" ht="15.75" thickBot="1" x14ac:dyDescent="0.3">
      <c r="B19" s="292"/>
      <c r="C19" s="293"/>
      <c r="D19" s="293"/>
      <c r="E19" s="294"/>
      <c r="F19" s="274">
        <f t="shared" si="2"/>
        <v>0</v>
      </c>
      <c r="G19" s="243"/>
      <c r="H19" s="282">
        <v>0</v>
      </c>
      <c r="I19" s="276"/>
      <c r="J19" s="295"/>
      <c r="K19" s="296"/>
      <c r="L19" s="279"/>
      <c r="M19" s="280"/>
      <c r="N19" s="287"/>
      <c r="Q19" s="285"/>
    </row>
    <row r="20" spans="2:18" ht="15.75" thickBot="1" x14ac:dyDescent="0.3">
      <c r="B20" s="297"/>
      <c r="C20" s="298"/>
      <c r="D20" s="299"/>
      <c r="E20" s="300"/>
      <c r="F20" s="301">
        <f t="shared" si="2"/>
        <v>0</v>
      </c>
      <c r="G20" s="243"/>
      <c r="H20" s="302">
        <v>0</v>
      </c>
      <c r="I20" s="303"/>
      <c r="J20" s="304"/>
      <c r="K20" s="305"/>
      <c r="L20" s="279"/>
      <c r="M20" s="280"/>
      <c r="N20" s="287"/>
      <c r="Q20" s="285"/>
    </row>
    <row r="21" spans="2:18" ht="15.75" thickBot="1" x14ac:dyDescent="0.3">
      <c r="B21" s="615" t="s">
        <v>119</v>
      </c>
      <c r="C21" s="616"/>
      <c r="D21" s="306">
        <f>SUM(D6:D20)</f>
        <v>1585735.7814383262</v>
      </c>
      <c r="E21" s="307">
        <f>D21/$D$70</f>
        <v>0.77336660239753852</v>
      </c>
      <c r="F21" s="308">
        <f>SUM(F6:F20)</f>
        <v>509831.90594248503</v>
      </c>
      <c r="G21" s="243"/>
      <c r="H21" s="309">
        <v>0</v>
      </c>
      <c r="I21" s="310">
        <v>0.30981964364367159</v>
      </c>
      <c r="J21" s="311"/>
      <c r="K21" s="312">
        <v>1.6E-2</v>
      </c>
      <c r="L21" s="279"/>
      <c r="M21" s="280">
        <f t="shared" ref="M21:M24" si="4">+H21+I21+K21</f>
        <v>0.32581964364367161</v>
      </c>
      <c r="N21" s="313">
        <f t="shared" si="3"/>
        <v>516663.86722125456</v>
      </c>
      <c r="Q21" s="285"/>
      <c r="R21" s="285"/>
    </row>
    <row r="22" spans="2:18" ht="15.75" thickBot="1" x14ac:dyDescent="0.3">
      <c r="B22" s="617" t="s">
        <v>120</v>
      </c>
      <c r="C22" s="618"/>
      <c r="D22" s="314">
        <v>6602</v>
      </c>
      <c r="E22" s="315">
        <f>D22/$D$70</f>
        <v>3.2198089800290776E-3</v>
      </c>
      <c r="F22" s="316">
        <f>I22*D22</f>
        <v>561.17000000000007</v>
      </c>
      <c r="G22" s="243"/>
      <c r="H22" s="317">
        <v>0</v>
      </c>
      <c r="I22" s="318">
        <v>8.5000000000000006E-2</v>
      </c>
      <c r="J22" s="319"/>
      <c r="K22" s="320">
        <v>1.6E-2</v>
      </c>
      <c r="L22" s="279"/>
      <c r="M22" s="280">
        <f t="shared" si="4"/>
        <v>0.10100000000000001</v>
      </c>
      <c r="N22" s="287">
        <f>M22*D22</f>
        <v>666.80200000000002</v>
      </c>
      <c r="Q22" s="285"/>
    </row>
    <row r="23" spans="2:18" ht="15.75" thickBot="1" x14ac:dyDescent="0.3">
      <c r="B23" s="321"/>
      <c r="C23" s="322"/>
      <c r="D23" s="323"/>
      <c r="E23" s="324">
        <f t="shared" ref="E23:E25" si="5">D23/$D$70</f>
        <v>0</v>
      </c>
      <c r="F23" s="325">
        <f>M23*D23</f>
        <v>0</v>
      </c>
      <c r="G23" s="243"/>
      <c r="H23" s="326">
        <v>0</v>
      </c>
      <c r="I23" s="327"/>
      <c r="J23" s="328"/>
      <c r="K23" s="329"/>
      <c r="L23" s="279"/>
      <c r="M23" s="280"/>
      <c r="N23" s="287"/>
      <c r="Q23" s="285"/>
    </row>
    <row r="24" spans="2:18" ht="15.75" thickBot="1" x14ac:dyDescent="0.3">
      <c r="B24" s="619" t="s">
        <v>121</v>
      </c>
      <c r="C24" s="620"/>
      <c r="D24" s="330">
        <f>SUM(D22:D23)</f>
        <v>6602</v>
      </c>
      <c r="E24" s="331">
        <f t="shared" si="5"/>
        <v>3.2198089800290776E-3</v>
      </c>
      <c r="F24" s="332">
        <f>SUM(F22:F23)</f>
        <v>561.17000000000007</v>
      </c>
      <c r="G24" s="243"/>
      <c r="H24" s="333">
        <v>0</v>
      </c>
      <c r="I24" s="334">
        <f>F24/D24</f>
        <v>8.5000000000000006E-2</v>
      </c>
      <c r="J24" s="335"/>
      <c r="K24" s="336">
        <v>1.2E-2</v>
      </c>
      <c r="L24" s="279"/>
      <c r="M24" s="280">
        <f t="shared" si="4"/>
        <v>9.7000000000000003E-2</v>
      </c>
      <c r="N24" s="313">
        <f>M24*D24</f>
        <v>640.39400000000001</v>
      </c>
    </row>
    <row r="25" spans="2:18" ht="15.75" thickBot="1" x14ac:dyDescent="0.3">
      <c r="B25" s="337" t="s">
        <v>122</v>
      </c>
      <c r="C25" s="338"/>
      <c r="D25" s="339">
        <f>D21+D24</f>
        <v>1592337.7814383262</v>
      </c>
      <c r="E25" s="340">
        <f t="shared" si="5"/>
        <v>0.77658641137756756</v>
      </c>
      <c r="F25" s="341">
        <f>+F24+F21</f>
        <v>510393.07594248501</v>
      </c>
      <c r="G25" s="342"/>
      <c r="H25" s="343">
        <v>0</v>
      </c>
      <c r="I25" s="344">
        <f>F25/D25</f>
        <v>0.32053065743466652</v>
      </c>
      <c r="J25" s="343"/>
      <c r="K25" s="345">
        <v>1.2E-2</v>
      </c>
      <c r="L25" s="346"/>
      <c r="M25" s="345">
        <f t="shared" ref="M25" si="6">+H25+I25+K25+J25</f>
        <v>0.33253065743466653</v>
      </c>
      <c r="N25" s="347">
        <f t="shared" si="3"/>
        <v>529501.129319745</v>
      </c>
    </row>
    <row r="26" spans="2:18" ht="15.75" thickBot="1" x14ac:dyDescent="0.3">
      <c r="D26" s="348"/>
      <c r="E26" s="349"/>
      <c r="F26" s="350"/>
      <c r="H26" s="268"/>
      <c r="I26" s="268"/>
      <c r="J26" s="268"/>
      <c r="K26" s="268"/>
      <c r="L26" s="279"/>
    </row>
    <row r="27" spans="2:18" ht="15.75" thickBot="1" x14ac:dyDescent="0.3">
      <c r="B27" s="263" t="s">
        <v>123</v>
      </c>
      <c r="C27" s="263" t="s">
        <v>124</v>
      </c>
      <c r="D27" s="243"/>
      <c r="E27" s="351"/>
      <c r="F27" s="352"/>
      <c r="H27" s="353"/>
      <c r="I27" s="354" t="s">
        <v>125</v>
      </c>
      <c r="J27" s="354"/>
      <c r="K27" s="355"/>
      <c r="L27" s="279"/>
    </row>
    <row r="28" spans="2:18" ht="15.75" thickBot="1" x14ac:dyDescent="0.3">
      <c r="B28" s="356"/>
      <c r="C28" s="357" t="s">
        <v>12</v>
      </c>
      <c r="D28" s="243"/>
      <c r="E28" s="243"/>
      <c r="F28" s="358"/>
      <c r="H28" s="243"/>
      <c r="I28" s="243"/>
      <c r="J28" s="359"/>
      <c r="K28" s="243"/>
      <c r="L28" s="279"/>
    </row>
    <row r="29" spans="2:18" x14ac:dyDescent="0.25">
      <c r="B29" s="239"/>
      <c r="C29" s="240" t="s">
        <v>12</v>
      </c>
      <c r="D29" s="241"/>
      <c r="E29" s="241"/>
      <c r="F29" s="242"/>
      <c r="H29" s="244" t="s">
        <v>100</v>
      </c>
      <c r="I29" s="244" t="s">
        <v>100</v>
      </c>
      <c r="J29" s="245"/>
      <c r="K29" s="244" t="s">
        <v>100</v>
      </c>
      <c r="L29" s="360"/>
      <c r="M29" s="361"/>
      <c r="N29" s="247"/>
    </row>
    <row r="30" spans="2:18" x14ac:dyDescent="0.25">
      <c r="B30" s="248" t="s">
        <v>102</v>
      </c>
      <c r="C30" s="249"/>
      <c r="D30" s="250" t="s">
        <v>103</v>
      </c>
      <c r="E30" s="250" t="s">
        <v>10</v>
      </c>
      <c r="F30" s="251" t="s">
        <v>125</v>
      </c>
      <c r="H30" s="252" t="s">
        <v>105</v>
      </c>
      <c r="I30" s="252" t="s">
        <v>106</v>
      </c>
      <c r="J30" s="253"/>
      <c r="K30" s="252" t="s">
        <v>108</v>
      </c>
      <c r="L30" s="279"/>
      <c r="M30" s="362" t="s">
        <v>109</v>
      </c>
      <c r="N30" s="254" t="s">
        <v>14</v>
      </c>
    </row>
    <row r="31" spans="2:18" ht="15.75" thickBot="1" x14ac:dyDescent="0.3">
      <c r="B31" s="255" t="s">
        <v>12</v>
      </c>
      <c r="C31" s="256" t="s">
        <v>12</v>
      </c>
      <c r="D31" s="257" t="s">
        <v>12</v>
      </c>
      <c r="E31" s="257"/>
      <c r="F31" s="258" t="s">
        <v>12</v>
      </c>
      <c r="H31" s="259" t="s">
        <v>12</v>
      </c>
      <c r="I31" s="259" t="s">
        <v>12</v>
      </c>
      <c r="J31" s="260"/>
      <c r="K31" s="259" t="s">
        <v>12</v>
      </c>
      <c r="L31" s="363"/>
      <c r="M31" s="364" t="s">
        <v>12</v>
      </c>
      <c r="N31" s="262"/>
    </row>
    <row r="32" spans="2:18" ht="15.75" thickBot="1" x14ac:dyDescent="0.3">
      <c r="B32" s="263"/>
      <c r="C32" s="264"/>
      <c r="D32" s="264"/>
      <c r="E32" s="264"/>
      <c r="F32" s="265"/>
      <c r="H32" s="266"/>
      <c r="I32" s="266"/>
      <c r="J32" s="266"/>
      <c r="K32" s="266"/>
      <c r="L32" s="363"/>
      <c r="M32" s="269"/>
    </row>
    <row r="33" spans="2:14" x14ac:dyDescent="0.25">
      <c r="B33" s="365"/>
      <c r="C33" s="366"/>
      <c r="D33" s="367"/>
      <c r="E33" s="294" t="e">
        <f>D33/$D$46</f>
        <v>#VALUE!</v>
      </c>
      <c r="F33" s="274">
        <f t="shared" ref="F33:F39" si="7">+I33*D33</f>
        <v>0</v>
      </c>
      <c r="H33" s="368">
        <v>0</v>
      </c>
      <c r="I33" s="369"/>
      <c r="J33" s="370"/>
      <c r="K33" s="371">
        <v>1.2019999999999999E-2</v>
      </c>
      <c r="L33" s="360"/>
      <c r="M33" s="372">
        <f t="shared" ref="M33:M41" si="8">+H33+I33+K33</f>
        <v>1.2019999999999999E-2</v>
      </c>
      <c r="N33" s="281">
        <f t="shared" ref="N33:N39" si="9">M33*D33</f>
        <v>0</v>
      </c>
    </row>
    <row r="34" spans="2:14" x14ac:dyDescent="0.25">
      <c r="B34" s="373"/>
      <c r="C34" s="374"/>
      <c r="D34" s="375"/>
      <c r="E34" s="376" t="e">
        <f t="shared" ref="E34:E39" si="10">D34/$D$46</f>
        <v>#VALUE!</v>
      </c>
      <c r="F34" s="377">
        <f t="shared" si="7"/>
        <v>0</v>
      </c>
      <c r="H34" s="326">
        <v>0</v>
      </c>
      <c r="I34" s="378"/>
      <c r="J34" s="328"/>
      <c r="K34" s="329">
        <v>1.2019999999999999E-2</v>
      </c>
      <c r="L34" s="360"/>
      <c r="M34" s="379">
        <f t="shared" si="8"/>
        <v>1.2019999999999999E-2</v>
      </c>
      <c r="N34" s="380">
        <f t="shared" si="9"/>
        <v>0</v>
      </c>
    </row>
    <row r="35" spans="2:14" x14ac:dyDescent="0.25">
      <c r="B35" s="373"/>
      <c r="C35" s="374"/>
      <c r="D35" s="375"/>
      <c r="E35" s="376" t="e">
        <f t="shared" si="10"/>
        <v>#VALUE!</v>
      </c>
      <c r="F35" s="377">
        <f t="shared" si="7"/>
        <v>0</v>
      </c>
      <c r="H35" s="326">
        <v>0</v>
      </c>
      <c r="I35" s="378"/>
      <c r="J35" s="328"/>
      <c r="K35" s="329">
        <v>1.2E-2</v>
      </c>
      <c r="L35" s="360"/>
      <c r="M35" s="379">
        <f t="shared" si="8"/>
        <v>1.2E-2</v>
      </c>
      <c r="N35" s="380">
        <f t="shared" si="9"/>
        <v>0</v>
      </c>
    </row>
    <row r="36" spans="2:14" x14ac:dyDescent="0.25">
      <c r="B36" s="373"/>
      <c r="C36" s="374"/>
      <c r="D36" s="375"/>
      <c r="E36" s="376" t="e">
        <f t="shared" si="10"/>
        <v>#VALUE!</v>
      </c>
      <c r="F36" s="377">
        <f t="shared" si="7"/>
        <v>0</v>
      </c>
      <c r="H36" s="326">
        <v>0</v>
      </c>
      <c r="I36" s="378"/>
      <c r="J36" s="328"/>
      <c r="K36" s="329">
        <v>1.2019999999999999E-2</v>
      </c>
      <c r="L36" s="360"/>
      <c r="M36" s="379">
        <f t="shared" si="8"/>
        <v>1.2019999999999999E-2</v>
      </c>
      <c r="N36" s="380">
        <f t="shared" si="9"/>
        <v>0</v>
      </c>
    </row>
    <row r="37" spans="2:14" x14ac:dyDescent="0.25">
      <c r="B37" s="373"/>
      <c r="C37" s="374"/>
      <c r="D37" s="375"/>
      <c r="E37" s="376" t="e">
        <f t="shared" si="10"/>
        <v>#VALUE!</v>
      </c>
      <c r="F37" s="377">
        <f t="shared" si="7"/>
        <v>0</v>
      </c>
      <c r="H37" s="326">
        <v>0</v>
      </c>
      <c r="I37" s="378"/>
      <c r="J37" s="328"/>
      <c r="K37" s="329">
        <v>1.2019999999999999E-2</v>
      </c>
      <c r="L37" s="360"/>
      <c r="M37" s="379">
        <f t="shared" si="8"/>
        <v>1.2019999999999999E-2</v>
      </c>
      <c r="N37" s="380">
        <f t="shared" si="9"/>
        <v>0</v>
      </c>
    </row>
    <row r="38" spans="2:14" x14ac:dyDescent="0.25">
      <c r="B38" s="373"/>
      <c r="C38" s="374"/>
      <c r="D38" s="375"/>
      <c r="E38" s="376" t="e">
        <f t="shared" si="10"/>
        <v>#VALUE!</v>
      </c>
      <c r="F38" s="377">
        <f t="shared" si="7"/>
        <v>0</v>
      </c>
      <c r="H38" s="326">
        <v>0</v>
      </c>
      <c r="I38" s="378"/>
      <c r="J38" s="328"/>
      <c r="K38" s="329">
        <v>1.2019999999999999E-2</v>
      </c>
      <c r="L38" s="360"/>
      <c r="M38" s="379">
        <f t="shared" si="8"/>
        <v>1.2019999999999999E-2</v>
      </c>
      <c r="N38" s="380">
        <f t="shared" si="9"/>
        <v>0</v>
      </c>
    </row>
    <row r="39" spans="2:14" ht="15.75" thickBot="1" x14ac:dyDescent="0.3">
      <c r="B39" s="373"/>
      <c r="C39" s="374"/>
      <c r="D39" s="375"/>
      <c r="E39" s="376" t="e">
        <f t="shared" si="10"/>
        <v>#VALUE!</v>
      </c>
      <c r="F39" s="377">
        <f t="shared" si="7"/>
        <v>0</v>
      </c>
      <c r="H39" s="326">
        <v>0</v>
      </c>
      <c r="I39" s="378"/>
      <c r="J39" s="328"/>
      <c r="K39" s="329">
        <v>1.2019999999999999E-2</v>
      </c>
      <c r="L39" s="360"/>
      <c r="M39" s="379">
        <f t="shared" si="8"/>
        <v>1.2019999999999999E-2</v>
      </c>
      <c r="N39" s="380">
        <f t="shared" si="9"/>
        <v>0</v>
      </c>
    </row>
    <row r="40" spans="2:14" ht="15.75" thickBot="1" x14ac:dyDescent="0.3">
      <c r="B40" s="621" t="s">
        <v>126</v>
      </c>
      <c r="C40" s="622"/>
      <c r="D40" s="381">
        <f>SUM(D33:D39)</f>
        <v>0</v>
      </c>
      <c r="E40" s="382" t="e">
        <f t="shared" ref="E40:E41" si="11">D40/$D$76</f>
        <v>#DIV/0!</v>
      </c>
      <c r="F40" s="383">
        <f>SUM(F33:F39)</f>
        <v>0</v>
      </c>
      <c r="H40" s="384">
        <v>0</v>
      </c>
      <c r="I40" s="385" t="e">
        <f>F40/D40</f>
        <v>#DIV/0!</v>
      </c>
      <c r="J40" s="335"/>
      <c r="K40" s="336">
        <v>1.2E-2</v>
      </c>
      <c r="L40" s="363"/>
      <c r="M40" s="386" t="e">
        <f t="shared" si="8"/>
        <v>#DIV/0!</v>
      </c>
      <c r="N40" s="387">
        <v>0</v>
      </c>
    </row>
    <row r="41" spans="2:14" ht="15.75" thickBot="1" x14ac:dyDescent="0.3">
      <c r="B41" s="388" t="s">
        <v>122</v>
      </c>
      <c r="C41" s="389"/>
      <c r="D41" s="390">
        <f>SUM(D40)</f>
        <v>0</v>
      </c>
      <c r="E41" s="391" t="e">
        <f t="shared" si="11"/>
        <v>#DIV/0!</v>
      </c>
      <c r="F41" s="392">
        <f>SUM(F40)</f>
        <v>0</v>
      </c>
      <c r="G41" s="342"/>
      <c r="H41" s="393">
        <v>0</v>
      </c>
      <c r="I41" s="343" t="e">
        <f>F41/D41</f>
        <v>#DIV/0!</v>
      </c>
      <c r="J41" s="343"/>
      <c r="K41" s="345">
        <v>1.2E-2</v>
      </c>
      <c r="L41" s="394"/>
      <c r="M41" s="395" t="e">
        <f t="shared" si="8"/>
        <v>#DIV/0!</v>
      </c>
      <c r="N41" s="396">
        <v>0</v>
      </c>
    </row>
    <row r="42" spans="2:14" ht="15.75" thickBot="1" x14ac:dyDescent="0.3">
      <c r="B42" s="397"/>
      <c r="C42" s="398"/>
      <c r="D42" s="399"/>
      <c r="E42" s="399"/>
      <c r="F42" s="400"/>
      <c r="H42" s="401"/>
      <c r="I42" s="401"/>
      <c r="J42" s="401"/>
      <c r="K42" s="401"/>
      <c r="L42" s="363"/>
      <c r="M42" s="401"/>
    </row>
    <row r="43" spans="2:14" ht="15.75" thickBot="1" x14ac:dyDescent="0.3">
      <c r="B43" s="263" t="s">
        <v>123</v>
      </c>
      <c r="C43" s="263" t="s">
        <v>98</v>
      </c>
      <c r="D43" s="243"/>
      <c r="E43" s="351" t="s">
        <v>12</v>
      </c>
      <c r="F43" s="352" t="s">
        <v>12</v>
      </c>
      <c r="H43" s="353"/>
      <c r="I43" s="354" t="s">
        <v>125</v>
      </c>
      <c r="J43" s="354"/>
      <c r="K43" s="355"/>
      <c r="L43" s="363"/>
      <c r="M43" s="401"/>
    </row>
    <row r="44" spans="2:14" ht="15.75" thickBot="1" x14ac:dyDescent="0.3">
      <c r="B44" s="397"/>
      <c r="C44" s="398"/>
      <c r="D44" s="399"/>
      <c r="E44" s="399"/>
      <c r="F44" s="400"/>
      <c r="H44" s="243"/>
      <c r="I44" s="243"/>
      <c r="J44" s="359"/>
      <c r="K44" s="243"/>
      <c r="L44" s="363"/>
      <c r="M44" s="402"/>
    </row>
    <row r="45" spans="2:14" x14ac:dyDescent="0.25">
      <c r="B45" s="239"/>
      <c r="C45" s="403" t="s">
        <v>12</v>
      </c>
      <c r="D45" s="241"/>
      <c r="E45" s="241"/>
      <c r="F45" s="242"/>
      <c r="H45" s="244" t="s">
        <v>100</v>
      </c>
      <c r="I45" s="244" t="s">
        <v>100</v>
      </c>
      <c r="J45" s="245"/>
      <c r="K45" s="244" t="s">
        <v>100</v>
      </c>
      <c r="L45" s="363"/>
      <c r="M45" s="361"/>
      <c r="N45" s="247"/>
    </row>
    <row r="46" spans="2:14" x14ac:dyDescent="0.25">
      <c r="B46" s="248" t="s">
        <v>102</v>
      </c>
      <c r="C46" s="404"/>
      <c r="D46" s="250" t="s">
        <v>103</v>
      </c>
      <c r="E46" s="250" t="s">
        <v>10</v>
      </c>
      <c r="F46" s="251" t="s">
        <v>125</v>
      </c>
      <c r="H46" s="252" t="s">
        <v>105</v>
      </c>
      <c r="I46" s="252" t="s">
        <v>106</v>
      </c>
      <c r="J46" s="253"/>
      <c r="K46" s="252" t="s">
        <v>108</v>
      </c>
      <c r="L46" s="363"/>
      <c r="M46" s="362" t="s">
        <v>109</v>
      </c>
      <c r="N46" s="254" t="s">
        <v>14</v>
      </c>
    </row>
    <row r="47" spans="2:14" ht="15.75" thickBot="1" x14ac:dyDescent="0.3">
      <c r="B47" s="255" t="s">
        <v>12</v>
      </c>
      <c r="C47" s="405" t="s">
        <v>12</v>
      </c>
      <c r="D47" s="257" t="s">
        <v>12</v>
      </c>
      <c r="E47" s="257"/>
      <c r="F47" s="258" t="s">
        <v>12</v>
      </c>
      <c r="H47" s="259" t="s">
        <v>12</v>
      </c>
      <c r="I47" s="259" t="s">
        <v>12</v>
      </c>
      <c r="J47" s="260"/>
      <c r="K47" s="259" t="s">
        <v>12</v>
      </c>
      <c r="L47" s="363"/>
      <c r="M47" s="364" t="s">
        <v>12</v>
      </c>
      <c r="N47" s="262"/>
    </row>
    <row r="48" spans="2:14" ht="15.75" thickBot="1" x14ac:dyDescent="0.3">
      <c r="B48" s="263"/>
      <c r="C48" s="406"/>
      <c r="D48" s="264"/>
      <c r="E48" s="264"/>
      <c r="F48" s="265"/>
      <c r="G48" s="407"/>
      <c r="H48" s="266"/>
      <c r="I48" s="266"/>
      <c r="J48" s="266"/>
      <c r="K48" s="266"/>
      <c r="L48" s="363"/>
      <c r="M48" s="269"/>
    </row>
    <row r="49" spans="2:14" x14ac:dyDescent="0.25">
      <c r="B49" s="408"/>
      <c r="C49" s="409"/>
      <c r="D49" s="410"/>
      <c r="E49" s="376"/>
      <c r="F49" s="411"/>
      <c r="H49" s="326"/>
      <c r="I49" s="378"/>
      <c r="J49" s="328"/>
      <c r="K49" s="329"/>
      <c r="L49" s="363"/>
      <c r="M49" s="372"/>
      <c r="N49" s="281"/>
    </row>
    <row r="50" spans="2:14" ht="15.75" x14ac:dyDescent="0.25">
      <c r="B50" s="408" t="s">
        <v>127</v>
      </c>
      <c r="C50" s="409"/>
      <c r="D50" s="412">
        <v>265131</v>
      </c>
      <c r="E50" s="376">
        <f>D50/$D$70</f>
        <v>0.12930493406302473</v>
      </c>
      <c r="F50" s="377">
        <f>+I50*D50</f>
        <v>22536.135000000002</v>
      </c>
      <c r="H50" s="326">
        <v>0</v>
      </c>
      <c r="I50" s="318">
        <v>8.5000000000000006E-2</v>
      </c>
      <c r="J50" s="328"/>
      <c r="K50" s="329">
        <v>1.2019999999999999E-2</v>
      </c>
      <c r="L50" s="363"/>
      <c r="M50" s="379">
        <f>+H50+I50+K50</f>
        <v>9.7020000000000009E-2</v>
      </c>
      <c r="N50" s="380">
        <f>M50*D50</f>
        <v>25723.009620000001</v>
      </c>
    </row>
    <row r="51" spans="2:14" x14ac:dyDescent="0.25">
      <c r="B51" s="408" t="s">
        <v>12</v>
      </c>
      <c r="C51" s="409"/>
      <c r="D51" s="413"/>
      <c r="E51" s="376"/>
      <c r="F51" s="377"/>
      <c r="H51" s="326"/>
      <c r="I51" s="378"/>
      <c r="J51" s="328"/>
      <c r="K51" s="329"/>
      <c r="L51" s="363"/>
      <c r="M51" s="379"/>
      <c r="N51" s="380"/>
    </row>
    <row r="52" spans="2:14" ht="15.75" x14ac:dyDescent="0.25">
      <c r="B52" s="408" t="s">
        <v>128</v>
      </c>
      <c r="C52" s="409"/>
      <c r="D52" s="412">
        <f>'[1]Resumen forfaits'!D31</f>
        <v>23232</v>
      </c>
      <c r="E52" s="376">
        <f>D52/$D$70</f>
        <v>1.1330294187221377E-2</v>
      </c>
      <c r="F52" s="377">
        <f>+I52*D52</f>
        <v>0</v>
      </c>
      <c r="G52" s="414"/>
      <c r="H52" s="326">
        <v>0</v>
      </c>
      <c r="I52" s="378">
        <v>0</v>
      </c>
      <c r="J52" s="328"/>
      <c r="K52" s="329">
        <v>1.2E-2</v>
      </c>
      <c r="L52" s="363"/>
      <c r="M52" s="379">
        <f t="shared" ref="M52:M53" si="12">+H52+I52+K52</f>
        <v>1.2E-2</v>
      </c>
      <c r="N52" s="380">
        <f t="shared" ref="N52" si="13">M52*D52</f>
        <v>278.78399999999999</v>
      </c>
    </row>
    <row r="53" spans="2:14" ht="15.75" x14ac:dyDescent="0.25">
      <c r="B53" s="408" t="s">
        <v>129</v>
      </c>
      <c r="C53" s="409"/>
      <c r="D53" s="415">
        <f>'[1]Resumen forfaits'!D29</f>
        <v>169731.41530036926</v>
      </c>
      <c r="E53" s="376">
        <f t="shared" ref="E53:E56" si="14">D53/$D$70</f>
        <v>8.2778360372186263E-2</v>
      </c>
      <c r="F53" s="377">
        <f>+I53*D53</f>
        <v>0</v>
      </c>
      <c r="G53" s="414"/>
      <c r="H53" s="326">
        <v>0</v>
      </c>
      <c r="I53" s="378">
        <v>0</v>
      </c>
      <c r="J53" s="328"/>
      <c r="K53" s="329">
        <v>1.2E-2</v>
      </c>
      <c r="L53" s="363"/>
      <c r="M53" s="379">
        <f t="shared" si="12"/>
        <v>1.2E-2</v>
      </c>
      <c r="N53" s="380">
        <f>M53*D53</f>
        <v>2036.7769836044313</v>
      </c>
    </row>
    <row r="54" spans="2:14" x14ac:dyDescent="0.25">
      <c r="B54" s="408"/>
      <c r="C54" s="409"/>
      <c r="D54" s="410"/>
      <c r="E54" s="376">
        <f t="shared" si="14"/>
        <v>0</v>
      </c>
      <c r="F54" s="411"/>
      <c r="H54" s="326"/>
      <c r="I54" s="378"/>
      <c r="J54" s="328"/>
      <c r="K54" s="329"/>
      <c r="L54" s="363"/>
      <c r="M54" s="379"/>
      <c r="N54" s="380"/>
    </row>
    <row r="55" spans="2:14" ht="15.75" thickBot="1" x14ac:dyDescent="0.3">
      <c r="B55" s="416" t="s">
        <v>130</v>
      </c>
      <c r="C55" s="417"/>
      <c r="D55" s="418">
        <f>SUM(D49:D54)</f>
        <v>458094.41530036926</v>
      </c>
      <c r="E55" s="419">
        <f t="shared" si="14"/>
        <v>0.22341358862243238</v>
      </c>
      <c r="F55" s="420">
        <f>SUM(F49:F54)</f>
        <v>22536.135000000002</v>
      </c>
      <c r="H55" s="384">
        <v>0</v>
      </c>
      <c r="I55" s="385">
        <f>F55/D55</f>
        <v>4.9195393454476447E-2</v>
      </c>
      <c r="J55" s="335"/>
      <c r="K55" s="336">
        <v>1.2E-2</v>
      </c>
      <c r="L55" s="363"/>
      <c r="M55" s="386">
        <f t="shared" ref="M55:M56" si="15">+H55+I55+K55</f>
        <v>6.1195393454476443E-2</v>
      </c>
      <c r="N55" s="387">
        <f t="shared" ref="N55:N56" si="16">M55*D55</f>
        <v>28033.26798360443</v>
      </c>
    </row>
    <row r="56" spans="2:14" ht="15.75" thickBot="1" x14ac:dyDescent="0.3">
      <c r="B56" s="421" t="s">
        <v>122</v>
      </c>
      <c r="C56" s="422"/>
      <c r="D56" s="423">
        <f>+D55</f>
        <v>458094.41530036926</v>
      </c>
      <c r="E56" s="424">
        <f t="shared" si="14"/>
        <v>0.22341358862243238</v>
      </c>
      <c r="F56" s="425">
        <f>+F55</f>
        <v>22536.135000000002</v>
      </c>
      <c r="G56" s="342"/>
      <c r="H56" s="393">
        <v>0</v>
      </c>
      <c r="I56" s="343">
        <f>F56/D56</f>
        <v>4.9195393454476447E-2</v>
      </c>
      <c r="J56" s="343"/>
      <c r="K56" s="345">
        <v>1.2E-2</v>
      </c>
      <c r="L56" s="394"/>
      <c r="M56" s="395">
        <f t="shared" si="15"/>
        <v>6.1195393454476443E-2</v>
      </c>
      <c r="N56" s="396">
        <f t="shared" si="16"/>
        <v>28033.26798360443</v>
      </c>
    </row>
    <row r="57" spans="2:14" x14ac:dyDescent="0.25">
      <c r="B57" s="426"/>
      <c r="C57" s="427"/>
      <c r="D57" s="428"/>
      <c r="E57" s="429"/>
      <c r="F57" s="430"/>
      <c r="G57" s="342"/>
      <c r="H57" s="431"/>
      <c r="I57" s="432"/>
      <c r="J57" s="432"/>
      <c r="K57" s="432"/>
      <c r="L57" s="394"/>
      <c r="M57" s="433"/>
      <c r="N57" s="342"/>
    </row>
    <row r="58" spans="2:14" x14ac:dyDescent="0.25">
      <c r="B58" s="263" t="s">
        <v>123</v>
      </c>
      <c r="C58" s="263" t="s">
        <v>131</v>
      </c>
      <c r="D58" s="243"/>
      <c r="E58" s="429"/>
      <c r="F58" s="430"/>
      <c r="G58" s="342"/>
      <c r="H58" s="431"/>
      <c r="I58" s="432"/>
      <c r="J58" s="432"/>
      <c r="K58" s="432"/>
      <c r="L58" s="394"/>
      <c r="M58" s="433"/>
      <c r="N58" s="342"/>
    </row>
    <row r="59" spans="2:14" ht="15.75" thickBot="1" x14ac:dyDescent="0.3">
      <c r="B59" s="426"/>
      <c r="C59" s="427"/>
      <c r="D59" s="428"/>
      <c r="E59" s="429"/>
      <c r="F59" s="430"/>
      <c r="G59" s="342"/>
      <c r="H59" s="431"/>
      <c r="I59" s="432"/>
      <c r="J59" s="432"/>
      <c r="K59" s="432"/>
      <c r="L59" s="394"/>
      <c r="M59" s="433"/>
      <c r="N59" s="342"/>
    </row>
    <row r="60" spans="2:14" x14ac:dyDescent="0.25">
      <c r="B60" s="239"/>
      <c r="C60" s="403" t="s">
        <v>12</v>
      </c>
      <c r="D60" s="241"/>
      <c r="E60" s="241"/>
      <c r="F60" s="242"/>
      <c r="H60" s="244" t="s">
        <v>100</v>
      </c>
      <c r="I60" s="244" t="s">
        <v>100</v>
      </c>
      <c r="J60" s="245"/>
      <c r="K60" s="244" t="s">
        <v>100</v>
      </c>
      <c r="L60" s="394"/>
      <c r="M60" s="361"/>
      <c r="N60" s="247"/>
    </row>
    <row r="61" spans="2:14" x14ac:dyDescent="0.25">
      <c r="B61" s="248" t="s">
        <v>102</v>
      </c>
      <c r="C61" s="404"/>
      <c r="D61" s="250" t="s">
        <v>103</v>
      </c>
      <c r="E61" s="250" t="s">
        <v>10</v>
      </c>
      <c r="F61" s="251" t="s">
        <v>125</v>
      </c>
      <c r="H61" s="252" t="s">
        <v>105</v>
      </c>
      <c r="I61" s="252" t="s">
        <v>106</v>
      </c>
      <c r="J61" s="253"/>
      <c r="K61" s="252" t="s">
        <v>108</v>
      </c>
      <c r="L61" s="394"/>
      <c r="M61" s="362" t="s">
        <v>109</v>
      </c>
      <c r="N61" s="254" t="s">
        <v>14</v>
      </c>
    </row>
    <row r="62" spans="2:14" ht="15.75" thickBot="1" x14ac:dyDescent="0.3">
      <c r="B62" s="255" t="s">
        <v>12</v>
      </c>
      <c r="C62" s="405" t="s">
        <v>12</v>
      </c>
      <c r="D62" s="257" t="s">
        <v>12</v>
      </c>
      <c r="E62" s="257"/>
      <c r="F62" s="258" t="s">
        <v>12</v>
      </c>
      <c r="H62" s="259" t="s">
        <v>12</v>
      </c>
      <c r="I62" s="259" t="s">
        <v>12</v>
      </c>
      <c r="J62" s="260"/>
      <c r="K62" s="259" t="s">
        <v>12</v>
      </c>
      <c r="L62" s="394"/>
      <c r="M62" s="364" t="s">
        <v>12</v>
      </c>
      <c r="N62" s="262"/>
    </row>
    <row r="63" spans="2:14" x14ac:dyDescent="0.25">
      <c r="B63" s="263"/>
      <c r="C63" s="406"/>
      <c r="D63" s="264"/>
      <c r="E63" s="264"/>
      <c r="F63" s="265"/>
      <c r="G63" s="407"/>
      <c r="H63" s="266"/>
      <c r="I63" s="266"/>
      <c r="J63" s="266"/>
      <c r="K63" s="266"/>
      <c r="L63" s="394"/>
      <c r="M63" s="269"/>
      <c r="N63" s="342"/>
    </row>
    <row r="64" spans="2:14" ht="15.75" x14ac:dyDescent="0.25">
      <c r="B64" s="408" t="s">
        <v>132</v>
      </c>
      <c r="C64" s="409"/>
      <c r="D64" s="413"/>
      <c r="E64" s="376"/>
      <c r="F64" s="434">
        <v>5696.96</v>
      </c>
      <c r="H64" s="326"/>
      <c r="I64" s="378"/>
      <c r="J64" s="328"/>
      <c r="K64" s="329"/>
      <c r="L64" s="394"/>
      <c r="M64" s="379"/>
      <c r="N64" s="380"/>
    </row>
    <row r="65" spans="2:14" ht="15.75" x14ac:dyDescent="0.25">
      <c r="B65" s="408" t="s">
        <v>133</v>
      </c>
      <c r="C65" s="409"/>
      <c r="D65" s="410"/>
      <c r="E65" s="376"/>
      <c r="F65" s="435">
        <v>1150</v>
      </c>
      <c r="H65" s="326"/>
      <c r="I65" s="378"/>
      <c r="J65" s="328"/>
      <c r="K65" s="329"/>
      <c r="L65" s="394"/>
      <c r="M65" s="379"/>
      <c r="N65" s="380"/>
    </row>
    <row r="66" spans="2:14" ht="15.75" thickBot="1" x14ac:dyDescent="0.3">
      <c r="B66" s="416" t="s">
        <v>134</v>
      </c>
      <c r="C66" s="417"/>
      <c r="D66" s="418">
        <f>SUM(D64:D65)</f>
        <v>0</v>
      </c>
      <c r="E66" s="436"/>
      <c r="F66" s="420">
        <f>SUM(F64:F65)</f>
        <v>6846.96</v>
      </c>
      <c r="H66" s="384">
        <v>0</v>
      </c>
      <c r="I66" s="385"/>
      <c r="J66" s="335"/>
      <c r="K66" s="336"/>
      <c r="L66" s="363"/>
      <c r="M66" s="386">
        <f t="shared" ref="M66:M67" si="17">+H66+I66+K66</f>
        <v>0</v>
      </c>
      <c r="N66" s="387">
        <f t="shared" ref="N66:N67" si="18">M66*D66</f>
        <v>0</v>
      </c>
    </row>
    <row r="67" spans="2:14" ht="15.75" thickBot="1" x14ac:dyDescent="0.3">
      <c r="B67" s="421" t="s">
        <v>122</v>
      </c>
      <c r="C67" s="422"/>
      <c r="D67" s="423">
        <f>+D66</f>
        <v>0</v>
      </c>
      <c r="E67" s="437"/>
      <c r="F67" s="425">
        <f>+F66</f>
        <v>6846.96</v>
      </c>
      <c r="G67" s="342"/>
      <c r="H67" s="393">
        <v>0</v>
      </c>
      <c r="I67" s="343"/>
      <c r="J67" s="343"/>
      <c r="K67" s="345"/>
      <c r="L67" s="394"/>
      <c r="M67" s="395">
        <f t="shared" si="17"/>
        <v>0</v>
      </c>
      <c r="N67" s="396">
        <f t="shared" si="18"/>
        <v>0</v>
      </c>
    </row>
    <row r="68" spans="2:14" x14ac:dyDescent="0.25">
      <c r="B68" s="426"/>
      <c r="C68" s="427"/>
      <c r="D68" s="428"/>
      <c r="E68" s="429"/>
      <c r="F68" s="430"/>
      <c r="G68" s="342"/>
      <c r="H68" s="431"/>
      <c r="I68" s="432"/>
      <c r="J68" s="432"/>
      <c r="K68" s="432"/>
      <c r="L68" s="394"/>
      <c r="M68" s="433"/>
    </row>
    <row r="69" spans="2:14" x14ac:dyDescent="0.25">
      <c r="F69" s="350"/>
      <c r="J69" s="438"/>
      <c r="L69" s="363"/>
      <c r="N69" s="439"/>
    </row>
    <row r="70" spans="2:14" x14ac:dyDescent="0.25">
      <c r="B70" s="623" t="s">
        <v>135</v>
      </c>
      <c r="C70" s="623"/>
      <c r="D70" s="440">
        <f>+D25+D41+D56</f>
        <v>2050432.1967386955</v>
      </c>
      <c r="E70" s="441">
        <f>+D70/D70</f>
        <v>1</v>
      </c>
      <c r="F70" s="442">
        <f>+F25+F41+F56+F67</f>
        <v>539776.17094248498</v>
      </c>
      <c r="H70" s="439"/>
      <c r="I70" s="443">
        <f>F70/D70</f>
        <v>0.26324994886493847</v>
      </c>
      <c r="J70" s="444"/>
      <c r="K70" s="445">
        <f>+M70-I70</f>
        <v>8.6607235240988012E-3</v>
      </c>
      <c r="L70" s="446"/>
      <c r="M70" s="443">
        <f>+N70/D70</f>
        <v>0.27191067238903727</v>
      </c>
      <c r="N70" s="442">
        <f>+N25+N41+N56+N67</f>
        <v>557534.39730334945</v>
      </c>
    </row>
    <row r="71" spans="2:14" x14ac:dyDescent="0.25">
      <c r="F71" s="350"/>
      <c r="J71" s="438"/>
      <c r="L71" s="363"/>
    </row>
    <row r="72" spans="2:14" x14ac:dyDescent="0.25">
      <c r="F72" s="447">
        <f>F70</f>
        <v>539776.17094248498</v>
      </c>
      <c r="G72" s="448"/>
      <c r="H72" s="448"/>
      <c r="I72" s="449">
        <f>+(K72/D70)-K70</f>
        <v>3.4694469519536142E-17</v>
      </c>
      <c r="J72" s="450"/>
      <c r="K72" s="447">
        <f>N70-F70</f>
        <v>17758.226360864472</v>
      </c>
      <c r="L72" s="451"/>
      <c r="M72" s="448"/>
      <c r="N72" s="447">
        <f>+F72+K72</f>
        <v>557534.39730334945</v>
      </c>
    </row>
  </sheetData>
  <mergeCells count="5">
    <mergeCell ref="B21:C21"/>
    <mergeCell ref="B22:C22"/>
    <mergeCell ref="B24:C24"/>
    <mergeCell ref="B40:C40"/>
    <mergeCell ref="B70:C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58F4-C062-4CBB-990B-CD2E6BB80795}">
  <dimension ref="B1:P25"/>
  <sheetViews>
    <sheetView workbookViewId="0">
      <selection activeCell="B11" sqref="B11"/>
    </sheetView>
  </sheetViews>
  <sheetFormatPr baseColWidth="10" defaultRowHeight="15" x14ac:dyDescent="0.25"/>
  <cols>
    <col min="2" max="2" width="38.5703125" customWidth="1"/>
    <col min="3" max="3" width="14.42578125" bestFit="1" customWidth="1"/>
    <col min="4" max="4" width="16.28515625" bestFit="1" customWidth="1"/>
    <col min="5" max="5" width="14.42578125" customWidth="1"/>
    <col min="6" max="6" width="10.42578125" bestFit="1" customWidth="1"/>
    <col min="10" max="12" width="23.7109375" bestFit="1" customWidth="1"/>
    <col min="13" max="14" width="13" bestFit="1" customWidth="1"/>
    <col min="15" max="15" width="14.28515625" customWidth="1"/>
  </cols>
  <sheetData>
    <row r="1" spans="2:16" ht="15.75" thickBot="1" x14ac:dyDescent="0.3"/>
    <row r="2" spans="2:16" ht="15.75" thickBot="1" x14ac:dyDescent="0.3">
      <c r="J2" s="589" t="s">
        <v>37</v>
      </c>
      <c r="K2" s="452" t="s">
        <v>136</v>
      </c>
      <c r="L2" s="452" t="s">
        <v>137</v>
      </c>
      <c r="M2" s="452" t="s">
        <v>138</v>
      </c>
      <c r="N2" s="453" t="s">
        <v>139</v>
      </c>
      <c r="O2" t="s">
        <v>140</v>
      </c>
      <c r="P2" t="s">
        <v>141</v>
      </c>
    </row>
    <row r="3" spans="2:16" ht="15.75" thickBot="1" x14ac:dyDescent="0.3">
      <c r="B3" s="659" t="s">
        <v>5</v>
      </c>
      <c r="C3" s="661" t="s">
        <v>6</v>
      </c>
      <c r="D3" s="662"/>
      <c r="E3" s="662"/>
      <c r="F3" s="663"/>
      <c r="K3" s="454" t="s">
        <v>142</v>
      </c>
      <c r="L3" s="455">
        <v>5280</v>
      </c>
      <c r="M3" s="586">
        <v>0.88500000000000001</v>
      </c>
      <c r="N3" s="456">
        <v>4672.8</v>
      </c>
      <c r="O3">
        <v>0.115</v>
      </c>
      <c r="P3" s="363">
        <f>Tabla2[[#This Row],[€/kg ]]-Tabla2[[#This Row],[Recolección ]]</f>
        <v>0.77</v>
      </c>
    </row>
    <row r="4" spans="2:16" ht="15.75" thickBot="1" x14ac:dyDescent="0.3">
      <c r="B4" s="660"/>
      <c r="C4" s="457" t="s">
        <v>8</v>
      </c>
      <c r="D4" s="458" t="s">
        <v>9</v>
      </c>
      <c r="E4" s="459" t="s">
        <v>10</v>
      </c>
      <c r="F4" s="460" t="s">
        <v>11</v>
      </c>
      <c r="K4" s="454" t="s">
        <v>143</v>
      </c>
      <c r="L4" s="455">
        <v>130390</v>
      </c>
      <c r="M4" s="586">
        <v>0.755</v>
      </c>
      <c r="N4" s="456">
        <v>98444.45</v>
      </c>
      <c r="P4" s="363">
        <f>Tabla2[[#This Row],[€/kg ]]-Tabla2[[#This Row],[Recolección ]]</f>
        <v>0.755</v>
      </c>
    </row>
    <row r="5" spans="2:16" ht="15.75" thickBot="1" x14ac:dyDescent="0.3">
      <c r="B5" s="461" t="s">
        <v>12</v>
      </c>
      <c r="C5" s="462" t="s">
        <v>12</v>
      </c>
      <c r="D5" s="463" t="s">
        <v>12</v>
      </c>
      <c r="E5" s="464" t="s">
        <v>12</v>
      </c>
      <c r="F5" s="465" t="s">
        <v>12</v>
      </c>
      <c r="K5" s="454" t="s">
        <v>144</v>
      </c>
      <c r="L5" s="455">
        <v>43425</v>
      </c>
      <c r="M5" s="586">
        <v>0.8</v>
      </c>
      <c r="N5" s="456">
        <v>34740</v>
      </c>
      <c r="P5" s="363">
        <f>Tabla2[[#This Row],[€/kg ]]-Tabla2[[#This Row],[Recolección ]]</f>
        <v>0.8</v>
      </c>
    </row>
    <row r="6" spans="2:16" ht="15.75" x14ac:dyDescent="0.25">
      <c r="B6" s="466" t="s">
        <v>145</v>
      </c>
      <c r="C6" s="467"/>
      <c r="D6" s="468">
        <v>1585735.5846996307</v>
      </c>
      <c r="E6" s="469"/>
      <c r="F6" s="470"/>
      <c r="K6" s="454"/>
      <c r="L6" s="455"/>
      <c r="M6" s="586"/>
      <c r="N6" s="456"/>
      <c r="P6" s="363"/>
    </row>
    <row r="7" spans="2:16" ht="15.75" x14ac:dyDescent="0.25">
      <c r="B7" s="466" t="s">
        <v>146</v>
      </c>
      <c r="C7" s="471">
        <f>D7*F7</f>
        <v>36484.549999999996</v>
      </c>
      <c r="D7" s="472">
        <v>42923</v>
      </c>
      <c r="E7" s="473">
        <f>D7/$D$9</f>
        <v>2.6354817641486339E-2</v>
      </c>
      <c r="F7" s="46">
        <v>0.85</v>
      </c>
      <c r="K7" s="454" t="s">
        <v>147</v>
      </c>
      <c r="L7" s="455">
        <v>22140</v>
      </c>
      <c r="M7" s="586">
        <v>0.8</v>
      </c>
      <c r="N7" s="456">
        <v>17712</v>
      </c>
      <c r="P7" s="363">
        <f>Tabla2[[#This Row],[€/kg ]]-Tabla2[[#This Row],[Recolección ]]</f>
        <v>0.8</v>
      </c>
    </row>
    <row r="8" spans="2:16" ht="16.5" thickBot="1" x14ac:dyDescent="0.3">
      <c r="B8" s="53"/>
      <c r="C8" s="474"/>
      <c r="D8" s="475"/>
      <c r="E8" s="476"/>
      <c r="F8" s="57"/>
      <c r="K8" s="452"/>
      <c r="L8" s="452"/>
      <c r="M8" s="587"/>
      <c r="N8" s="456"/>
      <c r="P8" s="363"/>
    </row>
    <row r="9" spans="2:16" ht="16.5" thickBot="1" x14ac:dyDescent="0.3">
      <c r="B9" s="477" t="s">
        <v>26</v>
      </c>
      <c r="C9" s="478">
        <f>SUM(C6:C8)</f>
        <v>36484.549999999996</v>
      </c>
      <c r="D9" s="479">
        <f>SUM(D6:D8)</f>
        <v>1628658.5846996307</v>
      </c>
      <c r="E9" s="480">
        <f>D9/D13</f>
        <v>0.89002912427116254</v>
      </c>
      <c r="F9" s="481">
        <f>C9/D9</f>
        <v>2.2401594995263386E-2</v>
      </c>
      <c r="K9" s="452"/>
      <c r="L9" s="482">
        <v>201235</v>
      </c>
      <c r="M9" s="587">
        <f>Tabla2[[#This Row],[Coste ]]/Tabla2[[#This Row],[kg ]]</f>
        <v>0.77307252714488039</v>
      </c>
      <c r="N9" s="483">
        <v>155569.25</v>
      </c>
      <c r="P9" s="363">
        <f>Tabla2[[#This Row],[€/kg ]]-Tabla2[[#This Row],[Recolección ]]</f>
        <v>0.77307252714488039</v>
      </c>
    </row>
    <row r="10" spans="2:16" ht="16.5" thickBot="1" x14ac:dyDescent="0.3">
      <c r="B10" s="74" t="s">
        <v>184</v>
      </c>
      <c r="C10" s="484">
        <f>N9</f>
        <v>155569.25</v>
      </c>
      <c r="D10" s="485">
        <v>201235</v>
      </c>
      <c r="E10" s="486"/>
      <c r="F10" s="487">
        <f>C10/D10</f>
        <v>0.77307252714488039</v>
      </c>
      <c r="K10" s="488" t="s">
        <v>148</v>
      </c>
      <c r="L10" s="489">
        <v>42923</v>
      </c>
      <c r="M10" s="588">
        <v>0.85</v>
      </c>
      <c r="N10" s="456">
        <v>36484.549999999996</v>
      </c>
      <c r="P10" s="363">
        <f>Tabla2[[#This Row],[€/kg ]]-Tabla2[[#This Row],[Recolección ]]</f>
        <v>0.85</v>
      </c>
    </row>
    <row r="11" spans="2:16" ht="16.5" thickBot="1" x14ac:dyDescent="0.3">
      <c r="B11" s="491" t="s">
        <v>30</v>
      </c>
      <c r="C11" s="492">
        <f>SUM(C10:C10)</f>
        <v>155569.25</v>
      </c>
      <c r="D11" s="493">
        <f>SUM(D10:D10)</f>
        <v>201235</v>
      </c>
      <c r="E11" s="494">
        <f>D11/D13</f>
        <v>0.10997087572883746</v>
      </c>
      <c r="F11" s="495">
        <f>C11/D11</f>
        <v>0.77307252714488039</v>
      </c>
      <c r="P11" s="363"/>
    </row>
    <row r="12" spans="2:16" ht="15.75" thickBot="1" x14ac:dyDescent="0.3">
      <c r="K12" s="496" t="s">
        <v>149</v>
      </c>
      <c r="L12" s="497">
        <v>244158</v>
      </c>
      <c r="N12" s="498">
        <v>192053.8</v>
      </c>
      <c r="P12" s="363">
        <f>Tabla2[[#This Row],[€/kg ]]-Tabla2[[#This Row],[Recolección ]]</f>
        <v>0</v>
      </c>
    </row>
    <row r="13" spans="2:16" ht="15.75" thickBot="1" x14ac:dyDescent="0.3">
      <c r="B13" s="499" t="s">
        <v>35</v>
      </c>
      <c r="C13" s="500">
        <f>C9+C11</f>
        <v>192053.8</v>
      </c>
      <c r="D13" s="501">
        <f>D9+D11</f>
        <v>1829893.5846996307</v>
      </c>
      <c r="E13" s="502">
        <f>+E9+E11</f>
        <v>1</v>
      </c>
      <c r="F13" s="503">
        <f>C13/D13</f>
        <v>0.10495353478793949</v>
      </c>
    </row>
    <row r="14" spans="2:16" ht="15.75" thickBot="1" x14ac:dyDescent="0.3"/>
    <row r="15" spans="2:16" ht="15.75" thickBot="1" x14ac:dyDescent="0.3">
      <c r="J15" s="589" t="s">
        <v>178</v>
      </c>
      <c r="K15" s="564" t="s">
        <v>136</v>
      </c>
      <c r="L15" s="564" t="s">
        <v>137</v>
      </c>
      <c r="M15" s="564" t="s">
        <v>138</v>
      </c>
      <c r="N15" s="565" t="s">
        <v>139</v>
      </c>
      <c r="O15" s="566" t="s">
        <v>140</v>
      </c>
      <c r="P15" s="567" t="s">
        <v>141</v>
      </c>
    </row>
    <row r="16" spans="2:16" ht="15.75" thickBot="1" x14ac:dyDescent="0.3">
      <c r="K16" s="568" t="s">
        <v>181</v>
      </c>
      <c r="L16" s="569">
        <v>38170</v>
      </c>
      <c r="M16" s="570">
        <v>0.88500000000000001</v>
      </c>
      <c r="N16" s="571">
        <v>4672.8</v>
      </c>
      <c r="O16" s="572">
        <v>0.115</v>
      </c>
      <c r="P16" s="573">
        <v>0.77</v>
      </c>
    </row>
    <row r="17" spans="2:16" ht="15.75" thickBot="1" x14ac:dyDescent="0.3">
      <c r="B17" s="504" t="s">
        <v>150</v>
      </c>
      <c r="C17" s="505"/>
      <c r="D17" s="506">
        <f>'[1]Resumen forfaits'!D39</f>
        <v>2050432</v>
      </c>
      <c r="E17" s="505"/>
      <c r="F17" s="507"/>
      <c r="K17" s="568" t="s">
        <v>183</v>
      </c>
      <c r="L17" s="569">
        <v>100825</v>
      </c>
      <c r="M17" s="570">
        <v>0.68</v>
      </c>
      <c r="N17" s="571">
        <f>M17*L17</f>
        <v>68561</v>
      </c>
      <c r="O17" s="572"/>
      <c r="P17" s="573"/>
    </row>
    <row r="18" spans="2:16" ht="15.75" thickBot="1" x14ac:dyDescent="0.3">
      <c r="K18" s="568" t="s">
        <v>182</v>
      </c>
      <c r="L18" s="569">
        <v>23000</v>
      </c>
      <c r="M18" s="570">
        <v>0.53</v>
      </c>
      <c r="N18" s="571">
        <f>M18*L18</f>
        <v>12190</v>
      </c>
      <c r="O18" s="572"/>
      <c r="P18" s="573"/>
    </row>
    <row r="19" spans="2:16" ht="16.5" thickBot="1" x14ac:dyDescent="0.3">
      <c r="B19" s="508" t="s">
        <v>35</v>
      </c>
      <c r="C19" s="509"/>
      <c r="D19" s="510">
        <f>+D17+D7+D10</f>
        <v>2294590</v>
      </c>
      <c r="E19" s="505"/>
      <c r="F19" s="507"/>
      <c r="K19" s="568" t="s">
        <v>143</v>
      </c>
      <c r="L19" s="569">
        <v>126525</v>
      </c>
      <c r="M19" s="570">
        <v>0.755</v>
      </c>
      <c r="N19" s="571">
        <f t="shared" ref="N19:N20" si="0">M19*L19</f>
        <v>95526.375</v>
      </c>
      <c r="O19" s="572"/>
      <c r="P19" s="573"/>
    </row>
    <row r="20" spans="2:16" x14ac:dyDescent="0.25">
      <c r="K20" s="568" t="s">
        <v>144</v>
      </c>
      <c r="L20" s="569">
        <v>38170</v>
      </c>
      <c r="M20" s="570">
        <v>0.8</v>
      </c>
      <c r="N20" s="571">
        <f t="shared" si="0"/>
        <v>30536</v>
      </c>
      <c r="O20" s="572"/>
      <c r="P20" s="573"/>
    </row>
    <row r="21" spans="2:16" x14ac:dyDescent="0.25">
      <c r="K21" s="574"/>
      <c r="L21" s="575"/>
      <c r="M21" s="575"/>
      <c r="N21" s="571"/>
      <c r="O21" s="572"/>
      <c r="P21" s="573"/>
    </row>
    <row r="22" spans="2:16" x14ac:dyDescent="0.25">
      <c r="K22" s="574"/>
      <c r="L22" s="576"/>
      <c r="M22" s="577"/>
      <c r="N22" s="578"/>
      <c r="O22" s="572"/>
      <c r="P22" s="573"/>
    </row>
    <row r="23" spans="2:16" x14ac:dyDescent="0.25">
      <c r="K23" s="579"/>
      <c r="L23" s="489"/>
      <c r="M23" s="490"/>
      <c r="N23" s="571"/>
      <c r="O23" s="572"/>
      <c r="P23" s="573"/>
    </row>
    <row r="24" spans="2:16" x14ac:dyDescent="0.25">
      <c r="K24" s="580"/>
      <c r="L24" s="572"/>
      <c r="M24" s="572"/>
      <c r="N24" s="572"/>
      <c r="O24" s="572"/>
      <c r="P24" s="573"/>
    </row>
    <row r="25" spans="2:16" ht="15.75" thickBot="1" x14ac:dyDescent="0.3">
      <c r="K25" s="581" t="s">
        <v>149</v>
      </c>
      <c r="L25" s="582">
        <f>SUM(L16:L24)</f>
        <v>326690</v>
      </c>
      <c r="M25" s="583"/>
      <c r="N25" s="584">
        <f>SUM(N16:N24)</f>
        <v>211486.17499999999</v>
      </c>
      <c r="O25" s="583"/>
      <c r="P25" s="585"/>
    </row>
  </sheetData>
  <mergeCells count="2">
    <mergeCell ref="B3:B4"/>
    <mergeCell ref="C3:F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2E1D-E442-4BF1-8602-4FD3237FF54A}">
  <dimension ref="B4:Q40"/>
  <sheetViews>
    <sheetView workbookViewId="0">
      <selection activeCell="K22" sqref="K22"/>
    </sheetView>
  </sheetViews>
  <sheetFormatPr baseColWidth="10" defaultRowHeight="15" x14ac:dyDescent="0.25"/>
  <cols>
    <col min="1" max="1" width="11.42578125" style="511"/>
    <col min="2" max="2" width="15.140625" style="511" bestFit="1" customWidth="1"/>
    <col min="3" max="3" width="13.28515625" style="511" bestFit="1" customWidth="1"/>
    <col min="4" max="4" width="12.140625" style="511" bestFit="1" customWidth="1"/>
    <col min="5" max="5" width="9.28515625" style="511" bestFit="1" customWidth="1"/>
    <col min="6" max="6" width="30" style="511" bestFit="1" customWidth="1"/>
    <col min="7" max="7" width="12.140625" style="511" bestFit="1" customWidth="1"/>
    <col min="8" max="8" width="19" style="511" bestFit="1" customWidth="1"/>
    <col min="9" max="9" width="13.5703125" style="511" bestFit="1" customWidth="1"/>
    <col min="10" max="10" width="15.7109375" style="511" bestFit="1" customWidth="1"/>
    <col min="11" max="11" width="24.42578125" style="511" bestFit="1" customWidth="1"/>
    <col min="12" max="12" width="11.85546875" style="511" bestFit="1" customWidth="1"/>
    <col min="13" max="13" width="10.5703125" style="511" bestFit="1" customWidth="1"/>
    <col min="14" max="14" width="14.42578125" style="511" customWidth="1"/>
    <col min="15" max="16" width="11.42578125" style="511" bestFit="1"/>
    <col min="17" max="17" width="14.42578125" style="511" customWidth="1"/>
    <col min="18" max="16384" width="11.42578125" style="511"/>
  </cols>
  <sheetData>
    <row r="4" spans="2:17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ht="15.75" thickBo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7" ht="16.5" thickBot="1" x14ac:dyDescent="0.3">
      <c r="B6" s="7"/>
      <c r="C6" s="512" t="s">
        <v>37</v>
      </c>
      <c r="D6" s="513"/>
      <c r="E6" s="513"/>
      <c r="F6" s="514" t="s">
        <v>151</v>
      </c>
      <c r="G6" s="513"/>
      <c r="H6" s="515">
        <f t="shared" ref="H6:L6" si="0">SUBTOTAL(9,H9:H11)</f>
        <v>0</v>
      </c>
      <c r="I6" s="516">
        <f t="shared" si="0"/>
        <v>0</v>
      </c>
      <c r="J6" s="515">
        <f t="shared" si="0"/>
        <v>0</v>
      </c>
      <c r="K6" s="516">
        <f t="shared" si="0"/>
        <v>0</v>
      </c>
      <c r="L6" s="515">
        <f t="shared" si="0"/>
        <v>2050432</v>
      </c>
      <c r="M6" s="516">
        <f>SUBTOTAL(9,M9:M11)</f>
        <v>31512.270564300001</v>
      </c>
      <c r="N6" s="7"/>
      <c r="O6" s="7"/>
      <c r="P6" s="7"/>
      <c r="Q6" s="7"/>
    </row>
    <row r="7" spans="2:17" ht="15.75" thickBot="1" x14ac:dyDescent="0.3">
      <c r="B7" s="7"/>
      <c r="C7" s="513"/>
      <c r="D7" s="513"/>
      <c r="E7" s="517">
        <f>SUBTOTAL(9,E9:E10)</f>
        <v>2050432</v>
      </c>
      <c r="F7" s="518">
        <f>G7/E7</f>
        <v>1.5368600648204866E-2</v>
      </c>
      <c r="G7" s="519">
        <f>SUBTOTAL(9,G9:G10)</f>
        <v>31512.270564300001</v>
      </c>
      <c r="H7" s="520" t="s">
        <v>13</v>
      </c>
      <c r="I7" s="520" t="s">
        <v>14</v>
      </c>
      <c r="J7" s="521" t="s">
        <v>13</v>
      </c>
      <c r="K7" s="521" t="s">
        <v>14</v>
      </c>
      <c r="L7" s="522" t="s">
        <v>13</v>
      </c>
      <c r="M7" s="522" t="s">
        <v>14</v>
      </c>
      <c r="N7" s="7"/>
      <c r="O7" s="517">
        <f>SUBTOTAL(9,O9:O10)</f>
        <v>2050432</v>
      </c>
      <c r="P7" s="517">
        <v>0</v>
      </c>
      <c r="Q7" s="7"/>
    </row>
    <row r="8" spans="2:17" ht="16.5" thickBot="1" x14ac:dyDescent="0.3">
      <c r="B8" s="512" t="s">
        <v>152</v>
      </c>
      <c r="C8" s="523" t="s">
        <v>153</v>
      </c>
      <c r="D8" s="523" t="s">
        <v>154</v>
      </c>
      <c r="E8" s="523" t="s">
        <v>155</v>
      </c>
      <c r="F8" s="523" t="s">
        <v>156</v>
      </c>
      <c r="G8" s="523" t="s">
        <v>157</v>
      </c>
      <c r="H8" s="664" t="s">
        <v>153</v>
      </c>
      <c r="I8" s="664"/>
      <c r="J8" s="665" t="s">
        <v>154</v>
      </c>
      <c r="K8" s="665"/>
      <c r="L8" s="666" t="s">
        <v>158</v>
      </c>
      <c r="M8" s="666"/>
      <c r="N8" s="524"/>
      <c r="O8" s="524" t="s">
        <v>159</v>
      </c>
      <c r="P8" s="524" t="s">
        <v>160</v>
      </c>
      <c r="Q8" s="7"/>
    </row>
    <row r="9" spans="2:17" x14ac:dyDescent="0.25">
      <c r="B9" s="7"/>
      <c r="C9" s="7" t="s">
        <v>161</v>
      </c>
      <c r="D9" s="7" t="s">
        <v>162</v>
      </c>
      <c r="E9" s="525">
        <v>1135869</v>
      </c>
      <c r="F9" s="526">
        <v>1.5922006863226704E-2</v>
      </c>
      <c r="G9" s="526">
        <v>18053.47</v>
      </c>
      <c r="H9" s="525"/>
      <c r="I9" s="526"/>
      <c r="J9" s="525"/>
      <c r="K9" s="526"/>
      <c r="L9" s="525">
        <v>1135869</v>
      </c>
      <c r="M9" s="526">
        <f>1375+1425+15253.47</f>
        <v>18053.47</v>
      </c>
      <c r="N9" s="513"/>
      <c r="O9" s="525">
        <v>1135869</v>
      </c>
      <c r="P9" s="525">
        <v>0</v>
      </c>
      <c r="Q9" s="7"/>
    </row>
    <row r="10" spans="2:17" x14ac:dyDescent="0.25">
      <c r="B10" s="7"/>
      <c r="C10" s="7" t="s">
        <v>161</v>
      </c>
      <c r="D10" s="7" t="s">
        <v>161</v>
      </c>
      <c r="E10" s="525">
        <v>914563</v>
      </c>
      <c r="F10" s="526">
        <v>1.4716099999999999E-2</v>
      </c>
      <c r="G10" s="526">
        <v>13458.8005643</v>
      </c>
      <c r="H10" s="525"/>
      <c r="I10" s="526"/>
      <c r="J10" s="525"/>
      <c r="K10" s="526"/>
      <c r="L10" s="525">
        <v>914563</v>
      </c>
      <c r="M10" s="526">
        <v>13458.8005643</v>
      </c>
      <c r="N10" s="513"/>
      <c r="O10" s="525">
        <v>914563</v>
      </c>
      <c r="P10" s="525">
        <v>0</v>
      </c>
      <c r="Q10" s="7"/>
    </row>
    <row r="11" spans="2:1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25">
      <c r="B12" s="7"/>
      <c r="C12" s="7"/>
      <c r="D12" s="7"/>
      <c r="E12" s="525"/>
      <c r="F12" s="52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2:17" x14ac:dyDescent="0.25">
      <c r="M13" s="511">
        <v>15253.47</v>
      </c>
    </row>
    <row r="14" spans="2:17" x14ac:dyDescent="0.25">
      <c r="M14" s="527">
        <f>+M10+M13</f>
        <v>28712.270564300001</v>
      </c>
    </row>
    <row r="15" spans="2:17" x14ac:dyDescent="0.25">
      <c r="C15" s="528"/>
      <c r="D15" s="528"/>
      <c r="E15" s="528"/>
      <c r="F15" s="528"/>
      <c r="G15" s="528"/>
      <c r="H15" s="528"/>
      <c r="I15" s="528"/>
      <c r="J15" s="528"/>
    </row>
    <row r="16" spans="2:17" x14ac:dyDescent="0.25">
      <c r="C16" s="529" t="s">
        <v>153</v>
      </c>
      <c r="D16" s="530" t="s">
        <v>13</v>
      </c>
      <c r="E16" s="530" t="s">
        <v>156</v>
      </c>
      <c r="F16" s="530" t="s">
        <v>163</v>
      </c>
      <c r="G16" s="530" t="s">
        <v>164</v>
      </c>
      <c r="H16" s="530" t="s">
        <v>165</v>
      </c>
      <c r="I16" s="528" t="s">
        <v>166</v>
      </c>
      <c r="J16" s="530" t="s">
        <v>167</v>
      </c>
    </row>
    <row r="17" spans="2:17" x14ac:dyDescent="0.25">
      <c r="B17" s="531" t="s">
        <v>168</v>
      </c>
      <c r="C17" s="532" t="s">
        <v>161</v>
      </c>
      <c r="D17" s="533">
        <v>102092</v>
      </c>
      <c r="E17" s="534">
        <v>1.5857946453036415E-2</v>
      </c>
      <c r="F17" s="535">
        <v>2800</v>
      </c>
      <c r="G17" s="536">
        <v>3388</v>
      </c>
      <c r="H17" s="537" t="s">
        <v>169</v>
      </c>
      <c r="I17" s="538">
        <v>102229432</v>
      </c>
      <c r="J17" s="539" t="s">
        <v>170</v>
      </c>
      <c r="K17" s="531" t="s">
        <v>171</v>
      </c>
    </row>
    <row r="18" spans="2:17" x14ac:dyDescent="0.25">
      <c r="B18" s="540" t="s">
        <v>172</v>
      </c>
      <c r="C18" s="541" t="s">
        <v>161</v>
      </c>
      <c r="D18" s="542">
        <f>+E7-D17</f>
        <v>1948340</v>
      </c>
      <c r="E18" s="543"/>
      <c r="F18" s="544">
        <v>28712.270564300001</v>
      </c>
      <c r="G18" s="545" t="s">
        <v>173</v>
      </c>
      <c r="H18" s="546"/>
      <c r="I18" s="538"/>
      <c r="J18" s="539"/>
    </row>
    <row r="19" spans="2:17" x14ac:dyDescent="0.25">
      <c r="B19" s="547"/>
      <c r="C19" s="548"/>
      <c r="D19" s="549">
        <f>SUM(D17:D18)</f>
        <v>2050432</v>
      </c>
      <c r="E19" s="550">
        <f>F19/D19</f>
        <v>1.5368600648204866E-2</v>
      </c>
      <c r="F19" s="551">
        <f>SUM(F17:F18)</f>
        <v>31512.270564300001</v>
      </c>
    </row>
    <row r="20" spans="2:17" ht="15.75" thickBot="1" x14ac:dyDescent="0.3">
      <c r="B20" s="552"/>
      <c r="C20" s="552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</row>
    <row r="21" spans="2:17" ht="15.75" thickTop="1" x14ac:dyDescent="0.25"/>
    <row r="23" spans="2:17" ht="15.75" thickBot="1" x14ac:dyDescent="0.3"/>
    <row r="24" spans="2:17" ht="16.5" thickBot="1" x14ac:dyDescent="0.3">
      <c r="B24" s="512" t="s">
        <v>174</v>
      </c>
      <c r="C24" s="529" t="s">
        <v>153</v>
      </c>
      <c r="D24" s="530" t="s">
        <v>13</v>
      </c>
      <c r="E24" s="530" t="s">
        <v>156</v>
      </c>
      <c r="F24" s="530" t="s">
        <v>163</v>
      </c>
      <c r="G24" s="530" t="s">
        <v>164</v>
      </c>
      <c r="H24" s="530" t="s">
        <v>165</v>
      </c>
      <c r="I24" s="553" t="s">
        <v>166</v>
      </c>
      <c r="J24" s="530" t="s">
        <v>175</v>
      </c>
      <c r="K24" s="553"/>
    </row>
    <row r="25" spans="2:17" x14ac:dyDescent="0.25">
      <c r="B25" s="540" t="s">
        <v>172</v>
      </c>
      <c r="C25" s="541" t="s">
        <v>1</v>
      </c>
      <c r="D25" s="554">
        <v>1135869</v>
      </c>
      <c r="E25" s="555">
        <v>0.17</v>
      </c>
      <c r="F25" s="556">
        <f>D25*E25</f>
        <v>193097.73</v>
      </c>
      <c r="G25" s="536">
        <f t="shared" ref="G25" si="1">F25*1.21</f>
        <v>233648.25330000001</v>
      </c>
      <c r="H25" s="539"/>
      <c r="I25" s="557"/>
      <c r="J25" s="539"/>
      <c r="K25" s="553" t="s">
        <v>176</v>
      </c>
    </row>
    <row r="26" spans="2:17" x14ac:dyDescent="0.25">
      <c r="B26" s="540" t="s">
        <v>172</v>
      </c>
      <c r="C26" s="541" t="s">
        <v>1</v>
      </c>
      <c r="D26" s="554">
        <v>914563</v>
      </c>
      <c r="E26" s="555">
        <v>0.17</v>
      </c>
      <c r="F26" s="556">
        <f t="shared" ref="F26" si="2">D26*E26</f>
        <v>155475.71000000002</v>
      </c>
      <c r="G26" s="558">
        <f t="shared" ref="G26" si="3">F26*1.04</f>
        <v>161694.73840000003</v>
      </c>
      <c r="H26" s="539"/>
      <c r="I26" s="557"/>
      <c r="J26" s="539"/>
      <c r="K26" s="559" t="s">
        <v>177</v>
      </c>
    </row>
    <row r="28" spans="2:17" x14ac:dyDescent="0.25">
      <c r="D28" s="560">
        <f>SUM(D25:D27)</f>
        <v>2050432</v>
      </c>
      <c r="E28" s="561">
        <f>F28/D28</f>
        <v>0.17000000000000004</v>
      </c>
      <c r="F28" s="561">
        <f>SUM(F25:F27)</f>
        <v>348573.44000000006</v>
      </c>
      <c r="G28" s="561">
        <f>SUM(G25:G27)</f>
        <v>395342.99170000001</v>
      </c>
    </row>
    <row r="34" spans="2:11" ht="15.75" thickBot="1" x14ac:dyDescent="0.3"/>
    <row r="35" spans="2:11" ht="16.5" thickBot="1" x14ac:dyDescent="0.3">
      <c r="B35" s="7"/>
      <c r="C35" s="512" t="s">
        <v>178</v>
      </c>
    </row>
    <row r="36" spans="2:11" ht="15.75" thickBot="1" x14ac:dyDescent="0.3"/>
    <row r="37" spans="2:11" ht="16.5" thickBot="1" x14ac:dyDescent="0.3">
      <c r="B37" s="512" t="s">
        <v>152</v>
      </c>
    </row>
    <row r="38" spans="2:11" ht="15.75" x14ac:dyDescent="0.25">
      <c r="B38" s="562"/>
    </row>
    <row r="39" spans="2:11" x14ac:dyDescent="0.25">
      <c r="C39" s="529" t="s">
        <v>153</v>
      </c>
      <c r="D39" s="530" t="s">
        <v>13</v>
      </c>
      <c r="E39" s="530" t="s">
        <v>156</v>
      </c>
      <c r="F39" s="530" t="s">
        <v>163</v>
      </c>
      <c r="G39" s="530" t="s">
        <v>164</v>
      </c>
      <c r="H39" s="530" t="s">
        <v>165</v>
      </c>
      <c r="I39" s="528" t="s">
        <v>166</v>
      </c>
      <c r="J39" s="530" t="s">
        <v>167</v>
      </c>
      <c r="K39" s="530" t="s">
        <v>179</v>
      </c>
    </row>
    <row r="40" spans="2:11" x14ac:dyDescent="0.25">
      <c r="B40" s="540" t="s">
        <v>172</v>
      </c>
      <c r="C40" s="541" t="s">
        <v>180</v>
      </c>
      <c r="D40" s="554">
        <v>92316</v>
      </c>
      <c r="E40" s="555">
        <f>F40/D40</f>
        <v>1.6873889683261839E-2</v>
      </c>
      <c r="F40" s="556">
        <v>1557.73</v>
      </c>
      <c r="K40" s="541" t="s">
        <v>3</v>
      </c>
    </row>
  </sheetData>
  <mergeCells count="3">
    <mergeCell ref="H8:I8"/>
    <mergeCell ref="J8:K8"/>
    <mergeCell ref="L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0CA3-71AF-49A2-BA3B-33317ED493A3}">
  <dimension ref="A1:K149"/>
  <sheetViews>
    <sheetView topLeftCell="A109" workbookViewId="0">
      <selection activeCell="D132" sqref="D132"/>
    </sheetView>
  </sheetViews>
  <sheetFormatPr baseColWidth="10" defaultRowHeight="15" x14ac:dyDescent="0.25"/>
  <cols>
    <col min="1" max="1" width="25" customWidth="1"/>
    <col min="2" max="4" width="15" style="439" customWidth="1"/>
    <col min="5" max="5" width="20" style="439" customWidth="1"/>
    <col min="6" max="6" width="19.7109375" style="439" customWidth="1"/>
    <col min="7" max="8" width="15" style="439" customWidth="1"/>
    <col min="9" max="9" width="16.7109375" style="607" customWidth="1"/>
    <col min="10" max="10" width="13.7109375" style="594" bestFit="1" customWidth="1"/>
  </cols>
  <sheetData>
    <row r="1" spans="1:11" x14ac:dyDescent="0.25">
      <c r="A1" s="591" t="s">
        <v>185</v>
      </c>
      <c r="B1" s="592"/>
      <c r="C1" s="592"/>
      <c r="D1" s="592" t="s">
        <v>161</v>
      </c>
      <c r="E1" s="592"/>
      <c r="F1" s="592"/>
      <c r="G1" s="592"/>
      <c r="H1" s="592"/>
      <c r="I1" s="593" t="s">
        <v>186</v>
      </c>
    </row>
    <row r="2" spans="1:11" x14ac:dyDescent="0.25">
      <c r="A2" s="595" t="s">
        <v>187</v>
      </c>
      <c r="B2" s="596"/>
      <c r="C2" s="596"/>
      <c r="D2" s="596"/>
      <c r="E2" s="596"/>
      <c r="F2" s="596"/>
      <c r="G2" s="596"/>
      <c r="H2" s="596">
        <v>0.41600177304964542</v>
      </c>
      <c r="I2" s="597"/>
      <c r="J2"/>
      <c r="K2" s="598"/>
    </row>
    <row r="3" spans="1:11" x14ac:dyDescent="0.25">
      <c r="A3" s="595" t="s">
        <v>188</v>
      </c>
      <c r="B3" s="599">
        <v>0.33105936215740506</v>
      </c>
      <c r="C3" s="600">
        <v>0.37637893432105307</v>
      </c>
      <c r="E3" s="596"/>
      <c r="F3" s="596">
        <v>0.28636149999999999</v>
      </c>
      <c r="G3" s="596"/>
      <c r="H3" s="600">
        <v>0.40533489465763728</v>
      </c>
      <c r="I3" s="597"/>
      <c r="K3" s="598"/>
    </row>
    <row r="4" spans="1:11" x14ac:dyDescent="0.25">
      <c r="A4" s="595" t="s">
        <v>189</v>
      </c>
      <c r="B4" s="599">
        <v>0.33105936215740506</v>
      </c>
      <c r="C4" s="600">
        <v>0.39396248338922663</v>
      </c>
      <c r="D4" s="612">
        <v>0.37037999999999999</v>
      </c>
      <c r="E4" s="600">
        <v>0.39150000000000001</v>
      </c>
      <c r="F4" s="600">
        <v>0.43549999999999994</v>
      </c>
      <c r="G4" s="600">
        <v>0.40060306712962968</v>
      </c>
      <c r="H4" s="596"/>
      <c r="I4" s="597"/>
      <c r="J4" s="601">
        <v>101354</v>
      </c>
    </row>
    <row r="5" spans="1:11" x14ac:dyDescent="0.25">
      <c r="A5" s="595" t="s">
        <v>190</v>
      </c>
      <c r="B5" s="596"/>
      <c r="C5" s="596"/>
      <c r="D5" s="596"/>
      <c r="E5" s="596">
        <v>0.35319999999999996</v>
      </c>
      <c r="F5" s="596">
        <v>0.34989999999999999</v>
      </c>
      <c r="G5" s="596"/>
      <c r="H5" s="596"/>
      <c r="I5" s="597"/>
      <c r="J5"/>
    </row>
    <row r="6" spans="1:11" x14ac:dyDescent="0.25">
      <c r="A6" s="595" t="s">
        <v>191</v>
      </c>
      <c r="B6" s="596"/>
      <c r="C6" s="596">
        <v>0.29420000000000002</v>
      </c>
      <c r="D6" s="596"/>
      <c r="E6" s="596">
        <v>0.30339999999999995</v>
      </c>
      <c r="F6" s="596">
        <v>0.29249999999999998</v>
      </c>
      <c r="G6" s="596">
        <v>0.27250000000000002</v>
      </c>
      <c r="H6" s="596"/>
      <c r="I6" s="597"/>
      <c r="J6"/>
    </row>
    <row r="7" spans="1:11" x14ac:dyDescent="0.25">
      <c r="A7" s="595" t="s">
        <v>192</v>
      </c>
      <c r="B7" s="596"/>
      <c r="C7" s="596"/>
      <c r="D7" s="596"/>
      <c r="E7" s="596"/>
      <c r="F7" s="596">
        <v>0.2492</v>
      </c>
      <c r="G7" s="596"/>
      <c r="H7" s="600">
        <v>0.28147361111111113</v>
      </c>
      <c r="I7" s="597"/>
      <c r="J7"/>
    </row>
    <row r="8" spans="1:11" x14ac:dyDescent="0.25">
      <c r="A8" s="595" t="s">
        <v>193</v>
      </c>
      <c r="B8" s="596"/>
      <c r="C8" s="596"/>
      <c r="D8" s="596"/>
      <c r="E8" s="596"/>
      <c r="F8" s="596">
        <v>0.27760000000000001</v>
      </c>
      <c r="G8" s="596"/>
      <c r="H8" s="600">
        <v>0.30624751264480343</v>
      </c>
      <c r="I8" s="597"/>
      <c r="J8"/>
    </row>
    <row r="9" spans="1:11" x14ac:dyDescent="0.25">
      <c r="A9" s="595" t="s">
        <v>194</v>
      </c>
      <c r="B9" s="596"/>
      <c r="C9" s="596"/>
      <c r="D9" s="596"/>
      <c r="E9" s="596"/>
      <c r="F9" s="596"/>
      <c r="G9" s="596"/>
      <c r="H9" s="600">
        <v>0.29200555555555557</v>
      </c>
      <c r="I9" s="597">
        <v>0.22389999999999999</v>
      </c>
      <c r="J9" s="598"/>
    </row>
    <row r="10" spans="1:11" x14ac:dyDescent="0.25">
      <c r="A10" s="595" t="s">
        <v>195</v>
      </c>
      <c r="B10" s="596"/>
      <c r="C10" s="596"/>
      <c r="D10" s="596"/>
      <c r="E10" s="596"/>
      <c r="F10" s="596">
        <v>0.2606</v>
      </c>
      <c r="G10" s="596"/>
      <c r="H10" s="600">
        <v>0.30942205051112454</v>
      </c>
      <c r="I10" s="597"/>
      <c r="J10"/>
    </row>
    <row r="11" spans="1:11" x14ac:dyDescent="0.25">
      <c r="A11" s="595" t="s">
        <v>196</v>
      </c>
      <c r="B11" s="596"/>
      <c r="C11" s="596"/>
      <c r="D11" s="596"/>
      <c r="E11" s="596">
        <v>0.47639999999999999</v>
      </c>
      <c r="F11" s="596">
        <v>0.5525000000000001</v>
      </c>
      <c r="G11" s="596"/>
      <c r="H11" s="596"/>
      <c r="I11" s="597"/>
      <c r="J11"/>
    </row>
    <row r="12" spans="1:11" x14ac:dyDescent="0.25">
      <c r="A12" s="595" t="s">
        <v>197</v>
      </c>
      <c r="B12" s="596"/>
      <c r="C12" s="596"/>
      <c r="D12" s="596"/>
      <c r="E12" s="596">
        <v>0.39159999999999995</v>
      </c>
      <c r="F12" s="596">
        <v>0.42059999999999992</v>
      </c>
      <c r="G12" s="596"/>
      <c r="H12" s="596"/>
      <c r="I12" s="597"/>
      <c r="J12"/>
    </row>
    <row r="13" spans="1:11" x14ac:dyDescent="0.25">
      <c r="A13" s="595" t="s">
        <v>198</v>
      </c>
      <c r="B13" s="596"/>
      <c r="C13" s="596"/>
      <c r="E13" s="596"/>
      <c r="F13" s="596"/>
      <c r="G13" s="596"/>
      <c r="H13" s="596"/>
      <c r="I13" s="597"/>
      <c r="J13" s="598"/>
    </row>
    <row r="14" spans="1:11" x14ac:dyDescent="0.25">
      <c r="A14" s="595" t="s">
        <v>199</v>
      </c>
      <c r="B14" s="596"/>
      <c r="C14" s="596"/>
      <c r="D14" s="596"/>
      <c r="E14" s="596"/>
      <c r="F14" s="596"/>
      <c r="G14" s="596"/>
      <c r="H14" s="596"/>
      <c r="I14" s="597"/>
      <c r="J14"/>
    </row>
    <row r="15" spans="1:11" x14ac:dyDescent="0.25">
      <c r="A15" s="595" t="s">
        <v>200</v>
      </c>
      <c r="B15" s="599">
        <v>0.32728249999999998</v>
      </c>
      <c r="C15" s="596"/>
      <c r="D15" s="596"/>
      <c r="E15" s="596"/>
      <c r="F15" s="596">
        <v>0.27799999999999997</v>
      </c>
      <c r="G15" s="596"/>
      <c r="H15" s="596"/>
      <c r="I15" s="597"/>
      <c r="J15"/>
    </row>
    <row r="16" spans="1:11" x14ac:dyDescent="0.25">
      <c r="A16" s="595" t="s">
        <v>201</v>
      </c>
      <c r="B16" s="599">
        <v>0.30827899999999997</v>
      </c>
      <c r="C16" s="596"/>
      <c r="D16" s="596"/>
      <c r="E16" s="596"/>
      <c r="F16" s="596">
        <v>0.26669999999999999</v>
      </c>
      <c r="G16" s="599">
        <v>0.32104798984688449</v>
      </c>
      <c r="H16" s="596"/>
      <c r="I16" s="597"/>
      <c r="J16"/>
      <c r="K16" s="598"/>
    </row>
    <row r="17" spans="1:11" x14ac:dyDescent="0.25">
      <c r="A17" s="595" t="s">
        <v>202</v>
      </c>
      <c r="B17" s="596"/>
      <c r="C17" s="599">
        <v>0.3145</v>
      </c>
      <c r="D17" s="596"/>
      <c r="E17" s="596"/>
      <c r="F17" s="596">
        <v>0.26600000000000001</v>
      </c>
      <c r="G17" s="596"/>
      <c r="H17" s="596"/>
      <c r="I17" s="597"/>
      <c r="J17"/>
      <c r="K17" s="598"/>
    </row>
    <row r="18" spans="1:11" x14ac:dyDescent="0.25">
      <c r="A18" s="595" t="s">
        <v>203</v>
      </c>
      <c r="B18" s="602">
        <v>0.27862048037250003</v>
      </c>
      <c r="C18" s="596"/>
      <c r="D18" s="596"/>
      <c r="E18" s="596"/>
      <c r="F18" s="596"/>
      <c r="G18" s="596"/>
      <c r="H18" s="596"/>
      <c r="I18" s="597"/>
      <c r="J18"/>
    </row>
    <row r="19" spans="1:11" x14ac:dyDescent="0.25">
      <c r="A19" s="595" t="s">
        <v>204</v>
      </c>
      <c r="B19" s="596"/>
      <c r="C19" s="596"/>
      <c r="D19" s="596"/>
      <c r="E19" s="596"/>
      <c r="F19" s="596"/>
      <c r="G19" s="599">
        <v>0.31014957042180252</v>
      </c>
      <c r="H19" s="596"/>
      <c r="I19" s="597"/>
      <c r="J19"/>
    </row>
    <row r="20" spans="1:11" x14ac:dyDescent="0.25">
      <c r="A20" s="595" t="s">
        <v>205</v>
      </c>
      <c r="B20" s="599">
        <v>0.30827899999999997</v>
      </c>
      <c r="C20" s="599">
        <v>0.31293587520898403</v>
      </c>
      <c r="D20" s="605">
        <v>0.33106679999999999</v>
      </c>
      <c r="E20" s="602">
        <v>0.25729999999999997</v>
      </c>
      <c r="F20" s="602">
        <v>0.25650000000000001</v>
      </c>
      <c r="G20" s="596"/>
      <c r="H20" s="600">
        <v>0.37759999999999999</v>
      </c>
      <c r="I20" s="597">
        <v>0.28699999999999998</v>
      </c>
      <c r="J20" s="598"/>
    </row>
    <row r="21" spans="1:11" x14ac:dyDescent="0.25">
      <c r="A21" s="595" t="s">
        <v>206</v>
      </c>
      <c r="B21" s="596"/>
      <c r="C21" s="596"/>
      <c r="D21" s="596"/>
      <c r="E21" s="596"/>
      <c r="F21" s="596"/>
      <c r="G21" s="596"/>
      <c r="H21" s="600">
        <v>0.40196999999999994</v>
      </c>
      <c r="I21" s="597"/>
      <c r="J21"/>
    </row>
    <row r="22" spans="1:11" x14ac:dyDescent="0.25">
      <c r="A22" s="595" t="s">
        <v>207</v>
      </c>
      <c r="B22" s="596"/>
      <c r="C22" s="599">
        <v>0.30692456473829205</v>
      </c>
      <c r="D22" s="596"/>
      <c r="E22" s="596"/>
      <c r="F22" s="596"/>
      <c r="G22" s="596"/>
      <c r="H22" s="596"/>
      <c r="I22" s="597"/>
      <c r="J22"/>
    </row>
    <row r="23" spans="1:11" x14ac:dyDescent="0.25">
      <c r="A23" s="595" t="s">
        <v>208</v>
      </c>
      <c r="B23" s="596"/>
      <c r="C23" s="596"/>
      <c r="D23" s="596"/>
      <c r="E23" s="596"/>
      <c r="F23" s="596"/>
      <c r="G23" s="596"/>
      <c r="H23" s="602">
        <v>0.26224695589645258</v>
      </c>
      <c r="I23" s="597"/>
      <c r="J23"/>
    </row>
    <row r="24" spans="1:11" x14ac:dyDescent="0.25">
      <c r="A24" s="595" t="s">
        <v>209</v>
      </c>
      <c r="B24" s="596"/>
      <c r="C24" s="596"/>
      <c r="D24" s="596"/>
      <c r="E24" s="596"/>
      <c r="F24" s="596"/>
      <c r="G24" s="596"/>
      <c r="H24" s="596"/>
      <c r="I24" s="597"/>
      <c r="J24"/>
    </row>
    <row r="25" spans="1:11" x14ac:dyDescent="0.25">
      <c r="A25" s="595" t="s">
        <v>210</v>
      </c>
      <c r="B25" s="596"/>
      <c r="C25" s="596"/>
      <c r="D25" s="596"/>
      <c r="E25" s="596">
        <v>0.29309999999999997</v>
      </c>
      <c r="F25" s="596">
        <v>0.32999999999999996</v>
      </c>
      <c r="G25" s="599">
        <v>0.30200693040011245</v>
      </c>
      <c r="H25" s="596"/>
      <c r="I25" s="597"/>
      <c r="J25"/>
    </row>
    <row r="26" spans="1:11" x14ac:dyDescent="0.25">
      <c r="A26" s="595" t="s">
        <v>211</v>
      </c>
      <c r="B26" s="596"/>
      <c r="C26" s="599">
        <v>0.31293587520898403</v>
      </c>
      <c r="D26" s="596"/>
      <c r="E26" s="599">
        <v>0.31454999999999994</v>
      </c>
      <c r="F26" s="600">
        <v>0.34279999999999999</v>
      </c>
      <c r="G26" s="599">
        <v>0.30829099512266145</v>
      </c>
      <c r="H26" s="596"/>
      <c r="I26" s="597">
        <v>0.29870000000000002</v>
      </c>
      <c r="J26" s="598"/>
      <c r="K26" s="598"/>
    </row>
    <row r="27" spans="1:11" x14ac:dyDescent="0.25">
      <c r="A27" s="595" t="s">
        <v>212</v>
      </c>
      <c r="B27" s="596"/>
      <c r="C27" s="596"/>
      <c r="D27" s="596"/>
      <c r="E27" s="596"/>
      <c r="F27" s="596"/>
      <c r="G27" s="596"/>
      <c r="H27" s="596"/>
      <c r="I27" s="597"/>
      <c r="J27"/>
    </row>
    <row r="28" spans="1:11" x14ac:dyDescent="0.25">
      <c r="A28" s="595" t="s">
        <v>213</v>
      </c>
      <c r="B28" s="596"/>
      <c r="C28" s="599">
        <v>0.30692456473829205</v>
      </c>
      <c r="D28" s="596"/>
      <c r="E28" s="596"/>
      <c r="F28" s="596"/>
      <c r="G28" s="596"/>
      <c r="H28" s="596"/>
      <c r="I28" s="597"/>
      <c r="J28"/>
      <c r="K28" s="598"/>
    </row>
    <row r="29" spans="1:11" x14ac:dyDescent="0.25">
      <c r="A29" s="595" t="s">
        <v>214</v>
      </c>
      <c r="B29" s="596"/>
      <c r="C29" s="600">
        <v>0.34770000000000001</v>
      </c>
      <c r="D29" s="596"/>
      <c r="E29" s="596"/>
      <c r="F29" s="596"/>
      <c r="G29" s="596"/>
      <c r="H29" s="596"/>
      <c r="I29" s="597"/>
      <c r="J29"/>
    </row>
    <row r="30" spans="1:11" x14ac:dyDescent="0.25">
      <c r="A30" s="595" t="s">
        <v>215</v>
      </c>
      <c r="B30" s="596"/>
      <c r="C30" s="596"/>
      <c r="D30" s="596"/>
      <c r="E30" s="596"/>
      <c r="F30" s="596"/>
      <c r="G30" s="596"/>
      <c r="H30" s="596"/>
      <c r="I30" s="597"/>
      <c r="J30"/>
    </row>
    <row r="31" spans="1:11" x14ac:dyDescent="0.25">
      <c r="A31" s="595" t="s">
        <v>216</v>
      </c>
      <c r="B31" s="596"/>
      <c r="C31" s="599">
        <v>0.29424242767543862</v>
      </c>
      <c r="D31" s="596"/>
      <c r="E31" s="596"/>
      <c r="F31" s="596"/>
      <c r="G31" s="602">
        <v>0.27252112068965517</v>
      </c>
      <c r="H31" s="596"/>
      <c r="I31" s="597"/>
      <c r="J31"/>
    </row>
    <row r="32" spans="1:11" x14ac:dyDescent="0.25">
      <c r="A32" s="595" t="s">
        <v>217</v>
      </c>
      <c r="B32" s="596"/>
      <c r="C32" s="596"/>
      <c r="D32" s="596"/>
      <c r="E32" s="596"/>
      <c r="F32" s="596"/>
      <c r="G32" s="596"/>
      <c r="H32" s="596"/>
      <c r="I32" s="597"/>
      <c r="J32"/>
    </row>
    <row r="33" spans="1:11" x14ac:dyDescent="0.25">
      <c r="A33" s="595" t="s">
        <v>218</v>
      </c>
      <c r="B33" s="596"/>
      <c r="C33" s="596"/>
      <c r="D33" s="596"/>
      <c r="E33" s="596"/>
      <c r="F33" s="596"/>
      <c r="G33" s="596"/>
      <c r="H33" s="600">
        <v>0.3515808994803799</v>
      </c>
      <c r="I33" s="597"/>
      <c r="J33"/>
    </row>
    <row r="34" spans="1:11" x14ac:dyDescent="0.25">
      <c r="A34" s="595" t="s">
        <v>219</v>
      </c>
      <c r="B34" s="596"/>
      <c r="C34" s="596"/>
      <c r="D34" s="596"/>
      <c r="E34" s="596">
        <v>0.23500000000000001</v>
      </c>
      <c r="F34" s="596">
        <v>0.26529999999999998</v>
      </c>
      <c r="G34" s="596"/>
      <c r="H34" s="596"/>
      <c r="I34" s="597"/>
      <c r="J34"/>
    </row>
    <row r="35" spans="1:11" x14ac:dyDescent="0.25">
      <c r="A35" s="595" t="s">
        <v>220</v>
      </c>
      <c r="B35" s="596"/>
      <c r="C35" s="602">
        <v>0.25239568286435787</v>
      </c>
      <c r="D35" s="605">
        <v>0.31362000000000001</v>
      </c>
      <c r="E35" s="596"/>
      <c r="F35" s="596"/>
      <c r="G35" s="596"/>
      <c r="H35" s="600">
        <v>0.33158511904761906</v>
      </c>
      <c r="I35" s="597"/>
      <c r="J35"/>
      <c r="K35" s="598"/>
    </row>
    <row r="36" spans="1:11" x14ac:dyDescent="0.25">
      <c r="A36" s="595" t="s">
        <v>221</v>
      </c>
      <c r="B36" s="596"/>
      <c r="C36" s="602">
        <v>0.25200246433566431</v>
      </c>
      <c r="D36" s="596"/>
      <c r="E36" s="596"/>
      <c r="F36" s="596">
        <v>0.2185</v>
      </c>
      <c r="G36" s="596"/>
      <c r="H36" s="596"/>
      <c r="I36" s="597"/>
      <c r="J36"/>
      <c r="K36" s="598"/>
    </row>
    <row r="37" spans="1:11" x14ac:dyDescent="0.25">
      <c r="A37" s="595" t="s">
        <v>222</v>
      </c>
      <c r="B37" s="596"/>
      <c r="C37" s="596"/>
      <c r="D37" s="596">
        <v>0.31362000000000001</v>
      </c>
      <c r="E37" s="596"/>
      <c r="F37" s="596"/>
      <c r="G37" s="596"/>
      <c r="H37" s="596"/>
      <c r="I37" s="597"/>
      <c r="J37"/>
      <c r="K37" s="598"/>
    </row>
    <row r="38" spans="1:11" x14ac:dyDescent="0.25">
      <c r="A38" s="595" t="s">
        <v>223</v>
      </c>
      <c r="B38" s="596"/>
      <c r="C38" s="596"/>
      <c r="D38" s="596"/>
      <c r="E38" s="596"/>
      <c r="F38" s="596">
        <v>0.2301</v>
      </c>
      <c r="G38" s="596"/>
      <c r="H38" s="596"/>
      <c r="I38" s="597"/>
      <c r="J38"/>
    </row>
    <row r="39" spans="1:11" x14ac:dyDescent="0.25">
      <c r="A39" s="595" t="s">
        <v>224</v>
      </c>
      <c r="B39" s="596"/>
      <c r="C39" s="602">
        <v>0.26523707536231883</v>
      </c>
      <c r="D39" s="596"/>
      <c r="E39" s="602">
        <v>0.2432</v>
      </c>
      <c r="F39" s="602">
        <v>0.26319999999999999</v>
      </c>
      <c r="G39" s="596"/>
      <c r="H39" s="600">
        <v>0.30150627615062764</v>
      </c>
      <c r="I39" s="597">
        <v>0.2707</v>
      </c>
      <c r="J39"/>
    </row>
    <row r="40" spans="1:11" x14ac:dyDescent="0.25">
      <c r="A40" s="595" t="s">
        <v>225</v>
      </c>
      <c r="B40" s="596"/>
      <c r="C40" s="602">
        <v>0.28807438761345444</v>
      </c>
      <c r="D40" s="596"/>
      <c r="E40" s="596"/>
      <c r="F40" s="596">
        <v>0.36119999999999997</v>
      </c>
      <c r="G40" s="596"/>
      <c r="H40" s="596"/>
      <c r="I40" s="597"/>
      <c r="J40"/>
      <c r="K40" s="598"/>
    </row>
    <row r="41" spans="1:11" x14ac:dyDescent="0.25">
      <c r="A41" s="595" t="s">
        <v>226</v>
      </c>
      <c r="B41" s="596">
        <v>0.31462379098646998</v>
      </c>
      <c r="C41" s="602">
        <v>0.29530674013837099</v>
      </c>
      <c r="D41" s="605">
        <v>0.342007678028661</v>
      </c>
      <c r="E41" s="596">
        <v>0.28449999999999998</v>
      </c>
      <c r="F41" s="596">
        <v>0.30829999999999996</v>
      </c>
      <c r="G41" s="596">
        <v>0.32100338593030903</v>
      </c>
      <c r="H41" s="596">
        <v>0.30829392903392905</v>
      </c>
      <c r="I41" s="597"/>
      <c r="J41" s="598"/>
      <c r="K41" s="598"/>
    </row>
    <row r="42" spans="1:11" x14ac:dyDescent="0.25">
      <c r="A42" s="595" t="s">
        <v>227</v>
      </c>
      <c r="B42" s="602">
        <v>0.27238437307716701</v>
      </c>
      <c r="C42" s="599">
        <v>0.28467353240501908</v>
      </c>
      <c r="D42" s="605">
        <v>0.31909999999999999</v>
      </c>
      <c r="E42" s="596">
        <v>0.26189999999999997</v>
      </c>
      <c r="F42" s="596"/>
      <c r="G42" s="600">
        <v>0.29665657492354741</v>
      </c>
      <c r="H42" s="602">
        <v>0.27743295454545452</v>
      </c>
      <c r="I42" s="597"/>
      <c r="J42" s="598"/>
      <c r="K42" s="598"/>
    </row>
    <row r="43" spans="1:11" x14ac:dyDescent="0.25">
      <c r="A43" s="595" t="s">
        <v>228</v>
      </c>
      <c r="B43" s="596"/>
      <c r="C43" s="596"/>
      <c r="D43" s="605"/>
      <c r="E43" s="596"/>
      <c r="F43" s="596">
        <v>0.29199999999999998</v>
      </c>
      <c r="G43" s="596"/>
      <c r="H43" s="596"/>
      <c r="I43" s="597"/>
      <c r="J43" s="598"/>
      <c r="K43" s="598"/>
    </row>
    <row r="44" spans="1:11" x14ac:dyDescent="0.25">
      <c r="A44" s="595" t="s">
        <v>229</v>
      </c>
      <c r="B44" s="596"/>
      <c r="C44" s="596"/>
      <c r="D44" s="605">
        <v>0.31909999999999999</v>
      </c>
      <c r="E44" s="596"/>
      <c r="F44" s="596"/>
      <c r="G44" s="596"/>
      <c r="H44" s="596"/>
      <c r="I44" s="597"/>
      <c r="J44"/>
      <c r="K44" s="598"/>
    </row>
    <row r="45" spans="1:11" x14ac:dyDescent="0.25">
      <c r="A45" s="595" t="s">
        <v>230</v>
      </c>
      <c r="B45" s="596"/>
      <c r="C45" s="602">
        <v>0.26975120634920641</v>
      </c>
      <c r="D45" s="596"/>
      <c r="E45" s="596"/>
      <c r="F45" s="596"/>
      <c r="G45" s="596">
        <v>0.32588360190476195</v>
      </c>
      <c r="H45" s="596"/>
      <c r="I45" s="597"/>
      <c r="J45"/>
    </row>
    <row r="46" spans="1:11" x14ac:dyDescent="0.25">
      <c r="A46" s="595" t="s">
        <v>231</v>
      </c>
      <c r="B46" s="596"/>
      <c r="C46" s="596"/>
      <c r="D46" s="596"/>
      <c r="E46" s="596"/>
      <c r="F46" s="596"/>
      <c r="G46" s="596"/>
      <c r="H46" s="596"/>
      <c r="I46" s="597"/>
      <c r="J46"/>
      <c r="K46" s="598"/>
    </row>
    <row r="47" spans="1:11" x14ac:dyDescent="0.25">
      <c r="A47" s="595" t="s">
        <v>232</v>
      </c>
      <c r="B47" s="596"/>
      <c r="C47" s="602">
        <v>0.24498201058688163</v>
      </c>
      <c r="D47" s="605">
        <v>0.31909999999999999</v>
      </c>
      <c r="E47" s="596">
        <v>0.2472</v>
      </c>
      <c r="F47" s="596">
        <v>0.24979999999999999</v>
      </c>
      <c r="G47" s="596"/>
      <c r="H47" s="602">
        <v>0.2727228466867076</v>
      </c>
      <c r="I47" s="597"/>
      <c r="J47"/>
      <c r="K47" s="598"/>
    </row>
    <row r="48" spans="1:11" x14ac:dyDescent="0.25">
      <c r="A48" s="595" t="s">
        <v>233</v>
      </c>
      <c r="B48" s="596"/>
      <c r="C48" s="596"/>
      <c r="D48" s="596"/>
      <c r="E48" s="596"/>
      <c r="F48" s="596">
        <v>0.19650000000000001</v>
      </c>
      <c r="G48" s="596"/>
      <c r="H48" s="596"/>
      <c r="I48" s="597"/>
      <c r="J48"/>
      <c r="K48" s="598"/>
    </row>
    <row r="49" spans="1:11" x14ac:dyDescent="0.25">
      <c r="A49" s="595" t="s">
        <v>234</v>
      </c>
      <c r="B49" s="599">
        <v>0.27016642499999999</v>
      </c>
      <c r="C49" s="596"/>
      <c r="D49" s="596"/>
      <c r="E49" s="596"/>
      <c r="F49" s="596"/>
      <c r="G49" s="596"/>
      <c r="H49" s="596"/>
      <c r="I49" s="597"/>
      <c r="J49"/>
      <c r="K49" s="598"/>
    </row>
    <row r="50" spans="1:11" x14ac:dyDescent="0.25">
      <c r="A50" s="595" t="s">
        <v>235</v>
      </c>
      <c r="B50" s="596"/>
      <c r="C50" s="599">
        <v>0.28278399999999998</v>
      </c>
      <c r="D50" s="605">
        <v>0.31909999999999999</v>
      </c>
      <c r="E50" s="596"/>
      <c r="F50" s="596">
        <v>0.2676</v>
      </c>
      <c r="G50" s="596"/>
      <c r="H50" s="596"/>
      <c r="I50" s="597"/>
      <c r="J50"/>
    </row>
    <row r="51" spans="1:11" x14ac:dyDescent="0.25">
      <c r="A51" s="595" t="s">
        <v>236</v>
      </c>
      <c r="B51" s="596"/>
      <c r="C51" s="596"/>
      <c r="D51" s="596"/>
      <c r="E51" s="596"/>
      <c r="F51" s="596"/>
      <c r="G51" s="596"/>
      <c r="H51" s="596"/>
      <c r="I51" s="597"/>
      <c r="J51"/>
    </row>
    <row r="52" spans="1:11" x14ac:dyDescent="0.25">
      <c r="A52" s="595" t="s">
        <v>237</v>
      </c>
      <c r="B52" s="600">
        <v>0.27238437307716701</v>
      </c>
      <c r="C52" s="602">
        <v>0.23179997016949153</v>
      </c>
      <c r="D52" s="596"/>
      <c r="E52" s="596"/>
      <c r="F52" s="596"/>
      <c r="G52" s="602">
        <v>0.22178968299999999</v>
      </c>
      <c r="H52" s="596"/>
      <c r="I52" s="597">
        <v>0.23780000000000001</v>
      </c>
      <c r="J52"/>
      <c r="K52" s="598"/>
    </row>
    <row r="53" spans="1:11" x14ac:dyDescent="0.25">
      <c r="A53" s="595" t="s">
        <v>238</v>
      </c>
      <c r="B53" s="596"/>
      <c r="C53" s="599">
        <v>0.27066933333333332</v>
      </c>
      <c r="D53" s="596"/>
      <c r="E53" s="596"/>
      <c r="F53" s="596"/>
      <c r="G53" s="596"/>
      <c r="H53" s="596"/>
      <c r="I53" s="597">
        <v>0.24790000000000001</v>
      </c>
      <c r="J53"/>
      <c r="K53" s="598"/>
    </row>
    <row r="54" spans="1:11" x14ac:dyDescent="0.25">
      <c r="A54" s="595" t="s">
        <v>239</v>
      </c>
      <c r="B54" s="596"/>
      <c r="C54" s="599">
        <v>0.28727593024482112</v>
      </c>
      <c r="D54" s="605">
        <v>0.31909999999999999</v>
      </c>
      <c r="E54" s="596">
        <v>0.30849999999999994</v>
      </c>
      <c r="F54" s="596">
        <v>0.30829999999999996</v>
      </c>
      <c r="G54" s="600">
        <v>0.3149294017094017</v>
      </c>
      <c r="H54" s="600">
        <v>0.31543221122112214</v>
      </c>
      <c r="I54" s="597"/>
      <c r="J54"/>
    </row>
    <row r="55" spans="1:11" x14ac:dyDescent="0.25">
      <c r="A55" s="595" t="s">
        <v>240</v>
      </c>
      <c r="B55" s="596"/>
      <c r="C55" s="596"/>
      <c r="D55" s="596"/>
      <c r="E55" s="596"/>
      <c r="F55" s="596">
        <v>0.33099999999999996</v>
      </c>
      <c r="G55" s="596"/>
      <c r="H55" s="596"/>
      <c r="I55" s="597"/>
      <c r="J55"/>
    </row>
    <row r="56" spans="1:11" x14ac:dyDescent="0.25">
      <c r="A56" s="595" t="s">
        <v>241</v>
      </c>
      <c r="B56" s="596"/>
      <c r="C56" s="596"/>
      <c r="D56" s="605">
        <v>0.31909999999999999</v>
      </c>
      <c r="E56" s="596">
        <v>0.27129999999999999</v>
      </c>
      <c r="F56" s="596">
        <v>0.2964</v>
      </c>
      <c r="G56" s="596"/>
      <c r="H56" s="596"/>
      <c r="I56" s="597"/>
      <c r="J56"/>
    </row>
    <row r="57" spans="1:11" x14ac:dyDescent="0.25">
      <c r="A57" s="595" t="s">
        <v>242</v>
      </c>
      <c r="B57" s="596"/>
      <c r="C57" s="596"/>
      <c r="D57" s="596"/>
      <c r="E57" s="596"/>
      <c r="F57" s="596"/>
      <c r="G57" s="596"/>
      <c r="H57" s="596"/>
      <c r="I57" s="597"/>
      <c r="J57" s="598"/>
      <c r="K57" s="598"/>
    </row>
    <row r="58" spans="1:11" x14ac:dyDescent="0.25">
      <c r="A58" s="595" t="s">
        <v>243</v>
      </c>
      <c r="B58" s="596"/>
      <c r="C58" s="596"/>
      <c r="D58" s="596"/>
      <c r="E58" s="596"/>
      <c r="F58" s="596"/>
      <c r="G58" s="596"/>
      <c r="H58" s="596"/>
      <c r="I58" s="597"/>
      <c r="J58"/>
    </row>
    <row r="59" spans="1:11" x14ac:dyDescent="0.25">
      <c r="A59" s="595" t="s">
        <v>244</v>
      </c>
      <c r="B59" s="596"/>
      <c r="C59" s="596"/>
      <c r="D59" s="596"/>
      <c r="E59" s="596"/>
      <c r="F59" s="596"/>
      <c r="G59" s="596"/>
      <c r="H59" s="596"/>
      <c r="I59" s="597"/>
      <c r="J59"/>
    </row>
    <row r="60" spans="1:11" x14ac:dyDescent="0.25">
      <c r="A60" s="595" t="s">
        <v>245</v>
      </c>
      <c r="B60" s="596"/>
      <c r="C60" s="596"/>
      <c r="D60" s="596"/>
      <c r="E60" s="596"/>
      <c r="F60" s="596"/>
      <c r="G60" s="596"/>
      <c r="H60" s="596"/>
      <c r="I60" s="597"/>
      <c r="J60"/>
    </row>
    <row r="61" spans="1:11" x14ac:dyDescent="0.25">
      <c r="A61" s="595" t="s">
        <v>246</v>
      </c>
      <c r="B61" s="596"/>
      <c r="C61" s="596"/>
      <c r="D61" s="596"/>
      <c r="E61" s="596"/>
      <c r="F61" s="596"/>
      <c r="G61" s="596"/>
      <c r="H61" s="596"/>
      <c r="I61" s="597"/>
      <c r="J61"/>
    </row>
    <row r="62" spans="1:11" x14ac:dyDescent="0.25">
      <c r="A62" s="595" t="s">
        <v>247</v>
      </c>
      <c r="B62" s="596"/>
      <c r="C62" s="596"/>
      <c r="D62" s="596"/>
      <c r="E62" s="596"/>
      <c r="F62" s="596"/>
      <c r="G62" s="596"/>
      <c r="H62" s="596"/>
      <c r="I62" s="597"/>
      <c r="J62"/>
    </row>
    <row r="63" spans="1:11" x14ac:dyDescent="0.25">
      <c r="A63" s="595" t="s">
        <v>248</v>
      </c>
      <c r="B63" s="596"/>
      <c r="C63" s="596"/>
      <c r="D63" s="596"/>
      <c r="E63" s="596"/>
      <c r="F63" s="596"/>
      <c r="G63" s="596"/>
      <c r="H63" s="596"/>
      <c r="I63" s="597"/>
      <c r="J63"/>
    </row>
    <row r="64" spans="1:11" x14ac:dyDescent="0.25">
      <c r="A64" s="595" t="s">
        <v>249</v>
      </c>
      <c r="B64" s="596"/>
      <c r="C64" s="596"/>
      <c r="D64" s="596"/>
      <c r="E64" s="596"/>
      <c r="F64" s="596"/>
      <c r="G64" s="596"/>
      <c r="H64" s="596"/>
      <c r="I64" s="597"/>
      <c r="J64"/>
    </row>
    <row r="65" spans="1:11" x14ac:dyDescent="0.25">
      <c r="A65" s="595" t="s">
        <v>250</v>
      </c>
      <c r="B65" s="596"/>
      <c r="C65" s="596"/>
      <c r="D65" s="596"/>
      <c r="E65" s="596"/>
      <c r="F65" s="596"/>
      <c r="G65" s="596"/>
      <c r="H65" s="596"/>
      <c r="I65" s="597"/>
      <c r="J65"/>
    </row>
    <row r="66" spans="1:11" x14ac:dyDescent="0.25">
      <c r="A66" s="595" t="s">
        <v>251</v>
      </c>
      <c r="B66" s="596"/>
      <c r="C66" s="596"/>
      <c r="D66" s="596"/>
      <c r="E66" s="596"/>
      <c r="F66" s="596"/>
      <c r="G66" s="596"/>
      <c r="H66" s="596"/>
      <c r="I66" s="597"/>
      <c r="J66"/>
    </row>
    <row r="67" spans="1:11" x14ac:dyDescent="0.25">
      <c r="A67" s="595" t="s">
        <v>252</v>
      </c>
      <c r="B67" s="596"/>
      <c r="C67" s="596">
        <v>0.15689730583333336</v>
      </c>
      <c r="D67" s="605">
        <v>0.28401999999999999</v>
      </c>
      <c r="E67" s="596"/>
      <c r="F67" s="596"/>
      <c r="G67" s="596"/>
      <c r="H67" s="596"/>
      <c r="I67" s="597"/>
      <c r="J67" s="348">
        <v>48911.56</v>
      </c>
      <c r="K67" s="598"/>
    </row>
    <row r="68" spans="1:11" x14ac:dyDescent="0.25">
      <c r="A68" s="595" t="s">
        <v>253</v>
      </c>
      <c r="B68" s="596"/>
      <c r="C68" s="596"/>
      <c r="D68" s="596"/>
      <c r="E68" s="596"/>
      <c r="F68" s="596"/>
      <c r="G68" s="596"/>
      <c r="H68" s="596"/>
      <c r="I68" s="597"/>
      <c r="J68"/>
    </row>
    <row r="69" spans="1:11" x14ac:dyDescent="0.25">
      <c r="A69" s="595" t="s">
        <v>254</v>
      </c>
      <c r="B69" s="600">
        <v>0.25865874999999999</v>
      </c>
      <c r="C69" s="602">
        <v>0.23942775975297451</v>
      </c>
      <c r="D69" s="603">
        <v>0.29032000000000002</v>
      </c>
      <c r="E69" s="602">
        <v>0.2056</v>
      </c>
      <c r="F69" s="602">
        <v>0.21480000000000002</v>
      </c>
      <c r="G69" s="600">
        <v>0.28284103775931546</v>
      </c>
      <c r="H69" s="602">
        <v>0.22982712011577427</v>
      </c>
      <c r="I69" s="597">
        <v>0.2225</v>
      </c>
      <c r="J69" s="348">
        <v>21860</v>
      </c>
    </row>
    <row r="70" spans="1:11" x14ac:dyDescent="0.25">
      <c r="A70" s="595" t="s">
        <v>255</v>
      </c>
      <c r="B70" s="596"/>
      <c r="C70" s="602">
        <v>0.22273599999999999</v>
      </c>
      <c r="D70" s="605">
        <v>0.25979077802866102</v>
      </c>
      <c r="E70" s="596">
        <v>0.21009999999999998</v>
      </c>
      <c r="F70" s="596">
        <v>0.19789999999999999</v>
      </c>
      <c r="G70" s="600">
        <v>0.27705851597809911</v>
      </c>
      <c r="H70" s="602">
        <v>0.21557778935185187</v>
      </c>
      <c r="I70" s="597"/>
      <c r="J70" s="348">
        <v>145443</v>
      </c>
    </row>
    <row r="71" spans="1:11" x14ac:dyDescent="0.25">
      <c r="A71" s="595" t="s">
        <v>256</v>
      </c>
      <c r="B71" s="596"/>
      <c r="C71" s="596"/>
      <c r="D71" s="596"/>
      <c r="E71" s="596"/>
      <c r="F71" s="596"/>
      <c r="G71" s="596"/>
      <c r="H71" s="596"/>
      <c r="I71" s="597"/>
      <c r="J71"/>
    </row>
    <row r="72" spans="1:11" x14ac:dyDescent="0.25">
      <c r="A72" s="595" t="s">
        <v>257</v>
      </c>
      <c r="B72" s="600">
        <v>0.29586376046421697</v>
      </c>
      <c r="C72" s="599">
        <v>0.24123871932870372</v>
      </c>
      <c r="E72" s="596"/>
      <c r="F72" s="596"/>
      <c r="G72" s="596"/>
      <c r="H72" s="596">
        <v>0.28589041533546328</v>
      </c>
      <c r="I72" s="604"/>
    </row>
    <row r="73" spans="1:11" x14ac:dyDescent="0.25">
      <c r="A73" s="595" t="s">
        <v>258</v>
      </c>
      <c r="B73" s="596"/>
      <c r="C73" s="596"/>
      <c r="D73" s="596"/>
      <c r="E73" s="596">
        <v>0.2336</v>
      </c>
      <c r="F73" s="596">
        <v>0.25069999999999998</v>
      </c>
      <c r="G73" s="596"/>
      <c r="H73" s="596"/>
      <c r="I73" s="604"/>
    </row>
    <row r="74" spans="1:11" x14ac:dyDescent="0.25">
      <c r="A74" s="595" t="s">
        <v>259</v>
      </c>
      <c r="B74" s="596"/>
      <c r="C74" s="600">
        <v>0.27143203421568829</v>
      </c>
      <c r="D74" s="596"/>
      <c r="E74" s="596"/>
      <c r="F74" s="596">
        <v>0.2465</v>
      </c>
      <c r="G74" s="596"/>
      <c r="H74" s="596"/>
      <c r="I74" s="597"/>
      <c r="J74"/>
    </row>
    <row r="75" spans="1:11" x14ac:dyDescent="0.25">
      <c r="A75" s="595" t="s">
        <v>260</v>
      </c>
      <c r="B75" s="596"/>
      <c r="C75" s="600">
        <v>0.27291480555555564</v>
      </c>
      <c r="D75" s="596"/>
      <c r="E75" s="596">
        <v>0.22969999999999999</v>
      </c>
      <c r="F75" s="596">
        <v>0.2465</v>
      </c>
      <c r="G75" s="596"/>
      <c r="H75" s="596"/>
      <c r="I75" s="597"/>
      <c r="J75"/>
    </row>
    <row r="76" spans="1:11" x14ac:dyDescent="0.25">
      <c r="A76" s="595" t="s">
        <v>261</v>
      </c>
      <c r="B76" s="596"/>
      <c r="C76" s="596"/>
      <c r="D76" s="596"/>
      <c r="E76" s="596">
        <v>0.21359999999999998</v>
      </c>
      <c r="F76" s="596">
        <v>0.2414</v>
      </c>
      <c r="G76" s="596"/>
      <c r="H76" s="596"/>
      <c r="I76" s="597"/>
      <c r="J76"/>
    </row>
    <row r="77" spans="1:11" x14ac:dyDescent="0.25">
      <c r="A77" s="595" t="s">
        <v>262</v>
      </c>
      <c r="B77" s="600">
        <v>0.27977374999999999</v>
      </c>
      <c r="C77" s="596"/>
      <c r="D77" s="605">
        <v>0.2840162</v>
      </c>
      <c r="E77" s="596"/>
      <c r="F77" s="596"/>
      <c r="G77" s="600">
        <v>0.28011027689030887</v>
      </c>
      <c r="H77" s="602">
        <v>0.24037137794598318</v>
      </c>
      <c r="I77" s="597"/>
      <c r="J77"/>
    </row>
    <row r="78" spans="1:11" x14ac:dyDescent="0.25">
      <c r="A78" s="595" t="s">
        <v>263</v>
      </c>
      <c r="B78" s="596"/>
      <c r="C78" s="596"/>
      <c r="D78" s="596"/>
      <c r="E78" s="596">
        <v>0.19970000000000002</v>
      </c>
      <c r="F78" s="596">
        <v>0.20859999999999998</v>
      </c>
      <c r="G78" s="596"/>
      <c r="H78" s="596"/>
      <c r="I78" s="597"/>
      <c r="J78"/>
    </row>
    <row r="79" spans="1:11" x14ac:dyDescent="0.25">
      <c r="A79" s="595" t="s">
        <v>264</v>
      </c>
      <c r="B79" s="596">
        <v>0.29586376046421697</v>
      </c>
      <c r="C79" s="596"/>
      <c r="D79" s="596"/>
      <c r="E79" s="596"/>
      <c r="F79" s="596"/>
      <c r="G79" s="596"/>
      <c r="H79" s="596"/>
      <c r="I79" s="604"/>
      <c r="K79" s="598"/>
    </row>
    <row r="80" spans="1:11" x14ac:dyDescent="0.25">
      <c r="A80" s="595" t="s">
        <v>265</v>
      </c>
      <c r="B80" s="596"/>
      <c r="C80" s="596"/>
      <c r="D80" s="596"/>
      <c r="E80" s="596"/>
      <c r="F80" s="596"/>
      <c r="G80" s="596">
        <v>0.31244897119341564</v>
      </c>
      <c r="H80" s="596"/>
      <c r="I80" s="597"/>
      <c r="J80"/>
    </row>
    <row r="81" spans="1:11" x14ac:dyDescent="0.25">
      <c r="A81" s="595" t="s">
        <v>266</v>
      </c>
      <c r="B81" s="596">
        <v>0.2665145262304045</v>
      </c>
      <c r="C81" s="596"/>
      <c r="D81" s="596"/>
      <c r="E81" s="602">
        <v>0.2056</v>
      </c>
      <c r="F81" s="602">
        <v>0.2457</v>
      </c>
      <c r="G81" s="600">
        <v>0.30820066266821328</v>
      </c>
      <c r="H81" s="596"/>
      <c r="I81" s="597">
        <v>0.2571</v>
      </c>
      <c r="J81" s="598"/>
      <c r="K81" s="598"/>
    </row>
    <row r="82" spans="1:11" x14ac:dyDescent="0.25">
      <c r="A82" s="595" t="s">
        <v>267</v>
      </c>
      <c r="B82" s="596"/>
      <c r="C82" s="596"/>
      <c r="D82" s="596"/>
      <c r="E82" s="596"/>
      <c r="F82" s="596"/>
      <c r="G82" s="596"/>
      <c r="H82" s="596"/>
      <c r="I82" s="597"/>
      <c r="J82"/>
    </row>
    <row r="83" spans="1:11" x14ac:dyDescent="0.25">
      <c r="A83" s="595" t="s">
        <v>268</v>
      </c>
      <c r="B83" s="596"/>
      <c r="C83" s="602">
        <v>0.15823120465018853</v>
      </c>
      <c r="D83" s="596"/>
      <c r="E83" s="596"/>
      <c r="F83" s="596"/>
      <c r="G83" s="596"/>
      <c r="H83" s="596"/>
      <c r="I83" s="597"/>
      <c r="J83"/>
    </row>
    <row r="84" spans="1:11" x14ac:dyDescent="0.25">
      <c r="A84" s="595" t="s">
        <v>269</v>
      </c>
      <c r="B84" s="596"/>
      <c r="C84" s="596"/>
      <c r="D84" s="596"/>
      <c r="E84" s="596"/>
      <c r="F84" s="596"/>
      <c r="G84" s="600">
        <v>0.32245068431996798</v>
      </c>
      <c r="H84" s="596"/>
      <c r="I84" s="604"/>
    </row>
    <row r="85" spans="1:11" x14ac:dyDescent="0.25">
      <c r="A85" s="595" t="s">
        <v>270</v>
      </c>
      <c r="B85" s="600">
        <v>0.26816050000000002</v>
      </c>
      <c r="C85" s="596"/>
      <c r="E85" s="602">
        <v>0.18300000000000002</v>
      </c>
      <c r="F85" s="602">
        <v>0.20110000000000003</v>
      </c>
      <c r="G85" s="600">
        <v>0.25821026936026936</v>
      </c>
      <c r="H85" s="596"/>
      <c r="I85" s="597">
        <v>0.21729999999999999</v>
      </c>
      <c r="J85" s="598"/>
      <c r="K85" s="598"/>
    </row>
    <row r="86" spans="1:11" x14ac:dyDescent="0.25">
      <c r="A86" s="595" t="s">
        <v>271</v>
      </c>
      <c r="B86" s="596"/>
      <c r="C86" s="596"/>
      <c r="D86" s="596"/>
      <c r="E86" s="596"/>
      <c r="F86" s="596">
        <v>0.19100000000000003</v>
      </c>
      <c r="G86" s="596"/>
      <c r="H86" s="596"/>
      <c r="I86" s="597"/>
      <c r="J86"/>
    </row>
    <row r="87" spans="1:11" x14ac:dyDescent="0.25">
      <c r="A87" s="595" t="s">
        <v>272</v>
      </c>
      <c r="B87" s="596"/>
      <c r="C87" s="596"/>
      <c r="D87" s="596"/>
      <c r="E87" s="596"/>
      <c r="F87" s="596"/>
      <c r="G87" s="596"/>
      <c r="H87" s="596"/>
      <c r="I87" s="597"/>
      <c r="J87"/>
    </row>
    <row r="88" spans="1:11" x14ac:dyDescent="0.25">
      <c r="A88" s="595" t="s">
        <v>273</v>
      </c>
      <c r="B88" s="596"/>
      <c r="C88" s="596">
        <v>0.15690000000000001</v>
      </c>
      <c r="D88" s="596"/>
      <c r="E88" s="596">
        <v>0.11899999999999999</v>
      </c>
      <c r="F88" s="596">
        <v>0.18710000000000002</v>
      </c>
      <c r="G88" s="596"/>
      <c r="H88" s="596"/>
      <c r="I88" s="597"/>
      <c r="J88"/>
    </row>
    <row r="89" spans="1:11" x14ac:dyDescent="0.25">
      <c r="A89" s="595" t="s">
        <v>274</v>
      </c>
      <c r="B89" s="596"/>
      <c r="C89" s="596"/>
      <c r="D89" s="596"/>
      <c r="E89" s="596">
        <v>0.1187</v>
      </c>
      <c r="F89" s="596">
        <v>0.14269999999999999</v>
      </c>
      <c r="G89" s="596">
        <v>0.2047461038961039</v>
      </c>
      <c r="H89" s="596"/>
      <c r="I89" s="597"/>
      <c r="J89"/>
    </row>
    <row r="90" spans="1:11" x14ac:dyDescent="0.25">
      <c r="A90" s="595" t="s">
        <v>275</v>
      </c>
      <c r="B90" s="596"/>
      <c r="C90" s="596"/>
      <c r="D90" s="596"/>
      <c r="E90" s="596"/>
      <c r="F90" s="596"/>
      <c r="G90" s="596"/>
      <c r="H90" s="596"/>
      <c r="I90" s="597"/>
      <c r="J90"/>
      <c r="K90" s="598"/>
    </row>
    <row r="91" spans="1:11" x14ac:dyDescent="0.25">
      <c r="A91" s="595" t="s">
        <v>276</v>
      </c>
      <c r="B91" s="596"/>
      <c r="C91" s="596"/>
      <c r="D91" s="605">
        <v>0.28042</v>
      </c>
      <c r="E91" s="596"/>
      <c r="F91" s="596"/>
      <c r="G91" s="596"/>
      <c r="H91" s="596"/>
      <c r="I91" s="597"/>
      <c r="J91"/>
    </row>
    <row r="92" spans="1:11" x14ac:dyDescent="0.25">
      <c r="A92" s="595" t="s">
        <v>277</v>
      </c>
      <c r="B92" s="596"/>
      <c r="C92" s="596"/>
      <c r="D92" s="596"/>
      <c r="E92" s="596"/>
      <c r="F92" s="596"/>
      <c r="G92" s="596"/>
      <c r="H92" s="596"/>
      <c r="I92" s="597"/>
      <c r="J92"/>
    </row>
    <row r="93" spans="1:11" x14ac:dyDescent="0.25">
      <c r="A93" s="595" t="s">
        <v>278</v>
      </c>
      <c r="B93" s="596"/>
      <c r="C93" s="596"/>
      <c r="D93" s="596"/>
      <c r="E93" s="596"/>
      <c r="F93" s="596"/>
      <c r="G93" s="596"/>
      <c r="H93" s="596"/>
      <c r="I93" s="597"/>
      <c r="J93"/>
    </row>
    <row r="94" spans="1:11" x14ac:dyDescent="0.25">
      <c r="A94" s="595" t="s">
        <v>279</v>
      </c>
      <c r="B94" s="596"/>
      <c r="C94" s="596"/>
      <c r="D94" s="606">
        <v>0.31812000000000001</v>
      </c>
      <c r="E94" s="596"/>
      <c r="F94" s="596"/>
      <c r="G94" s="596"/>
      <c r="H94" s="596"/>
      <c r="I94" s="597"/>
      <c r="J94" s="348">
        <v>756233</v>
      </c>
    </row>
    <row r="95" spans="1:11" x14ac:dyDescent="0.25">
      <c r="A95" s="595" t="s">
        <v>280</v>
      </c>
      <c r="B95" s="596">
        <v>0.26604899999999998</v>
      </c>
      <c r="C95" s="596"/>
      <c r="D95" s="605">
        <v>0.33284799999999998</v>
      </c>
      <c r="E95" s="596"/>
      <c r="F95" s="596"/>
      <c r="G95" s="596"/>
      <c r="H95" s="596"/>
      <c r="I95" s="597"/>
      <c r="J95"/>
      <c r="K95" s="598"/>
    </row>
    <row r="96" spans="1:11" x14ac:dyDescent="0.25">
      <c r="A96" s="595" t="s">
        <v>281</v>
      </c>
      <c r="B96" s="596"/>
      <c r="C96" s="596"/>
      <c r="D96" s="606">
        <v>0.31812000000000001</v>
      </c>
      <c r="E96" s="596"/>
      <c r="F96" s="596">
        <v>0.28349999999999997</v>
      </c>
      <c r="G96" s="596"/>
      <c r="H96" s="596"/>
      <c r="I96" s="597"/>
      <c r="J96" t="s">
        <v>282</v>
      </c>
    </row>
    <row r="97" spans="1:11" x14ac:dyDescent="0.25">
      <c r="A97" s="595" t="s">
        <v>283</v>
      </c>
      <c r="B97" s="596"/>
      <c r="C97" s="596"/>
      <c r="D97" s="596"/>
      <c r="E97" s="596"/>
      <c r="F97" s="596"/>
      <c r="G97" s="596"/>
      <c r="H97" s="596"/>
      <c r="I97" s="597"/>
      <c r="J97"/>
    </row>
    <row r="98" spans="1:11" x14ac:dyDescent="0.25">
      <c r="A98" s="595" t="s">
        <v>284</v>
      </c>
      <c r="B98" s="596"/>
      <c r="C98" s="596"/>
      <c r="D98" s="596"/>
      <c r="E98" s="596"/>
      <c r="F98" s="596"/>
      <c r="G98" s="596">
        <v>0.25944050925925927</v>
      </c>
      <c r="H98" s="596"/>
      <c r="I98" s="597"/>
      <c r="J98"/>
    </row>
    <row r="99" spans="1:11" x14ac:dyDescent="0.25">
      <c r="A99" s="595" t="s">
        <v>285</v>
      </c>
      <c r="B99" s="596"/>
      <c r="C99" s="596"/>
      <c r="D99" s="605">
        <v>0.33284799999999998</v>
      </c>
      <c r="E99" s="596"/>
      <c r="F99" s="596"/>
      <c r="G99" s="596"/>
      <c r="H99" s="596"/>
      <c r="I99" s="597"/>
      <c r="J99"/>
    </row>
    <row r="100" spans="1:11" x14ac:dyDescent="0.25">
      <c r="A100" s="595" t="s">
        <v>286</v>
      </c>
      <c r="B100" s="596"/>
      <c r="C100" s="596"/>
      <c r="D100" s="596"/>
      <c r="E100" s="596"/>
      <c r="F100" s="596"/>
      <c r="G100" s="596"/>
      <c r="H100" s="596"/>
      <c r="I100" s="597"/>
      <c r="J100"/>
    </row>
    <row r="101" spans="1:11" x14ac:dyDescent="0.25">
      <c r="A101" s="595" t="s">
        <v>287</v>
      </c>
      <c r="B101" s="596"/>
      <c r="C101" s="600">
        <v>0.28655012544827291</v>
      </c>
      <c r="D101" s="606">
        <v>0.31812000000000001</v>
      </c>
      <c r="E101" s="596"/>
      <c r="F101" s="596">
        <v>0.28789999999999999</v>
      </c>
      <c r="G101" s="596"/>
      <c r="H101" s="600">
        <v>0.31965000000000005</v>
      </c>
      <c r="I101" s="597"/>
      <c r="J101" t="s">
        <v>282</v>
      </c>
      <c r="K101" s="598"/>
    </row>
    <row r="102" spans="1:11" x14ac:dyDescent="0.25">
      <c r="A102" s="595" t="s">
        <v>288</v>
      </c>
      <c r="B102" s="596"/>
      <c r="C102" s="596"/>
      <c r="D102" s="596"/>
      <c r="E102" s="596"/>
      <c r="F102" s="596"/>
      <c r="G102" s="596"/>
      <c r="H102" s="596"/>
      <c r="I102" s="597"/>
      <c r="J102"/>
    </row>
    <row r="103" spans="1:11" x14ac:dyDescent="0.25">
      <c r="A103" s="595" t="s">
        <v>289</v>
      </c>
      <c r="B103" s="596"/>
      <c r="C103" s="602">
        <v>0.24703604247382382</v>
      </c>
      <c r="D103" s="606">
        <v>0.31812000000000001</v>
      </c>
      <c r="E103" s="596">
        <v>0.24160000000000001</v>
      </c>
      <c r="F103" s="596"/>
      <c r="G103" s="596"/>
      <c r="H103" s="600">
        <v>0.27143575757575761</v>
      </c>
      <c r="I103" s="597"/>
      <c r="J103" t="s">
        <v>282</v>
      </c>
    </row>
    <row r="104" spans="1:11" x14ac:dyDescent="0.25">
      <c r="A104" s="595" t="s">
        <v>290</v>
      </c>
      <c r="B104" s="596"/>
      <c r="C104" s="596"/>
      <c r="D104" s="596"/>
      <c r="E104" s="596"/>
      <c r="F104" s="596"/>
      <c r="G104" s="596"/>
      <c r="H104" s="596"/>
      <c r="I104" s="597"/>
      <c r="J104"/>
    </row>
    <row r="105" spans="1:11" x14ac:dyDescent="0.25">
      <c r="A105" s="595" t="s">
        <v>291</v>
      </c>
      <c r="B105" s="596"/>
      <c r="C105" s="602">
        <v>0.24166418792252256</v>
      </c>
      <c r="D105" s="606">
        <v>0.31812000000000001</v>
      </c>
      <c r="E105" s="602">
        <v>0.24299999999999999</v>
      </c>
      <c r="F105" s="596"/>
      <c r="G105" s="596"/>
      <c r="H105" s="596"/>
      <c r="I105" s="597">
        <v>0.2429</v>
      </c>
      <c r="J105" s="598" t="s">
        <v>282</v>
      </c>
      <c r="K105" s="598"/>
    </row>
    <row r="106" spans="1:11" x14ac:dyDescent="0.25">
      <c r="A106" s="595" t="s">
        <v>292</v>
      </c>
      <c r="B106" s="596"/>
      <c r="C106" s="596"/>
      <c r="D106" s="596"/>
      <c r="E106" s="596"/>
      <c r="F106" s="596"/>
      <c r="G106" s="600">
        <v>0.29478531553398063</v>
      </c>
      <c r="H106" s="596"/>
      <c r="I106" s="597"/>
      <c r="J106"/>
    </row>
    <row r="107" spans="1:11" x14ac:dyDescent="0.25">
      <c r="A107" s="595" t="s">
        <v>293</v>
      </c>
      <c r="B107" s="596"/>
      <c r="C107" s="602">
        <v>0.25637199999999999</v>
      </c>
      <c r="D107" s="606">
        <v>0.31812000000000001</v>
      </c>
      <c r="E107" s="596">
        <v>0.24979999999999999</v>
      </c>
      <c r="F107" s="596">
        <v>0.26800000000000002</v>
      </c>
      <c r="G107" s="596"/>
      <c r="H107" s="596"/>
      <c r="I107" s="597"/>
      <c r="J107" t="s">
        <v>282</v>
      </c>
    </row>
    <row r="108" spans="1:11" x14ac:dyDescent="0.25">
      <c r="A108" s="595" t="s">
        <v>294</v>
      </c>
      <c r="B108" s="596"/>
      <c r="C108" s="596"/>
      <c r="D108" s="596"/>
      <c r="E108" s="596"/>
      <c r="F108" s="596"/>
      <c r="G108" s="599">
        <v>0.25608013649425287</v>
      </c>
      <c r="H108" s="599">
        <v>0.25219522727272725</v>
      </c>
      <c r="I108" s="597"/>
      <c r="J108"/>
    </row>
    <row r="109" spans="1:11" x14ac:dyDescent="0.25">
      <c r="A109" s="595" t="s">
        <v>295</v>
      </c>
      <c r="B109" s="596"/>
      <c r="C109" s="596"/>
      <c r="D109" s="596"/>
      <c r="E109" s="596"/>
      <c r="F109" s="596"/>
      <c r="G109" s="596"/>
      <c r="H109" s="596"/>
      <c r="I109" s="597"/>
      <c r="J109"/>
    </row>
    <row r="110" spans="1:11" x14ac:dyDescent="0.25">
      <c r="A110" s="595" t="s">
        <v>296</v>
      </c>
      <c r="B110" s="596"/>
      <c r="C110" s="596"/>
      <c r="D110" s="596"/>
      <c r="E110" s="596"/>
      <c r="F110" s="596"/>
      <c r="G110" s="596"/>
      <c r="H110" s="596">
        <v>0.56118036616161615</v>
      </c>
      <c r="I110" s="597"/>
      <c r="J110"/>
    </row>
    <row r="111" spans="1:11" x14ac:dyDescent="0.25">
      <c r="A111" s="595" t="s">
        <v>297</v>
      </c>
      <c r="B111" s="596"/>
      <c r="C111" s="596"/>
      <c r="D111" s="596"/>
      <c r="E111" s="596"/>
      <c r="F111" s="596"/>
      <c r="G111" s="596"/>
      <c r="H111" s="596"/>
      <c r="I111" s="597"/>
      <c r="J111"/>
    </row>
    <row r="112" spans="1:11" x14ac:dyDescent="0.25">
      <c r="A112" s="595" t="s">
        <v>298</v>
      </c>
      <c r="B112" s="596"/>
      <c r="C112" s="596"/>
      <c r="D112" s="596"/>
      <c r="E112" s="596"/>
      <c r="F112" s="596"/>
      <c r="G112" s="596"/>
      <c r="H112" s="596"/>
      <c r="I112" s="597"/>
      <c r="J112"/>
    </row>
    <row r="113" spans="1:11" x14ac:dyDescent="0.25">
      <c r="A113" s="595" t="s">
        <v>299</v>
      </c>
      <c r="B113" s="596"/>
      <c r="C113" s="596"/>
      <c r="D113" s="596"/>
      <c r="E113" s="596"/>
      <c r="F113" s="596"/>
      <c r="G113" s="596"/>
      <c r="H113" s="596"/>
      <c r="I113" s="597"/>
      <c r="J113"/>
    </row>
    <row r="114" spans="1:11" x14ac:dyDescent="0.25">
      <c r="A114" s="595" t="s">
        <v>300</v>
      </c>
      <c r="B114" s="600">
        <v>0.5130246144070425</v>
      </c>
      <c r="C114" s="599">
        <v>0.4438307804330065</v>
      </c>
      <c r="E114" s="596">
        <v>0.37799999999999995</v>
      </c>
      <c r="F114" s="596">
        <v>0.43179999999999996</v>
      </c>
      <c r="G114" s="602">
        <v>0.36726870039682541</v>
      </c>
      <c r="H114" s="596"/>
      <c r="I114" s="597"/>
      <c r="J114"/>
    </row>
    <row r="115" spans="1:11" x14ac:dyDescent="0.25">
      <c r="A115" s="595" t="s">
        <v>301</v>
      </c>
      <c r="B115" s="600">
        <v>0.5130246144070425</v>
      </c>
      <c r="C115" s="599">
        <v>0.4438307804330065</v>
      </c>
      <c r="D115" s="605">
        <v>0.56310257802866104</v>
      </c>
      <c r="E115" s="596"/>
      <c r="F115" s="596">
        <v>0.49739999999999995</v>
      </c>
      <c r="G115" s="602">
        <v>0.39347207392197125</v>
      </c>
      <c r="H115" s="596"/>
      <c r="I115" s="597"/>
      <c r="J115" s="348">
        <v>3423.426046</v>
      </c>
    </row>
    <row r="116" spans="1:11" x14ac:dyDescent="0.25">
      <c r="A116" s="595" t="s">
        <v>302</v>
      </c>
      <c r="B116" s="600">
        <v>0.47001989999999999</v>
      </c>
      <c r="C116" s="599">
        <v>0.4226307347058823</v>
      </c>
      <c r="D116" s="596"/>
      <c r="E116" s="596">
        <v>0.33300000000000002</v>
      </c>
      <c r="F116" s="596">
        <v>0.38869999999999999</v>
      </c>
      <c r="G116" s="596"/>
      <c r="H116" s="600">
        <v>0.49033974725578827</v>
      </c>
      <c r="I116" s="597"/>
      <c r="J116"/>
    </row>
    <row r="117" spans="1:11" x14ac:dyDescent="0.25">
      <c r="A117" s="595" t="s">
        <v>303</v>
      </c>
      <c r="B117" s="600">
        <v>0.47001989999999999</v>
      </c>
      <c r="C117" s="599">
        <v>0.4226307347058823</v>
      </c>
      <c r="D117" s="596"/>
      <c r="E117" s="600">
        <v>0.43470000000000003</v>
      </c>
      <c r="F117" s="600">
        <v>0.46949999999999997</v>
      </c>
      <c r="G117" s="600">
        <v>0.43157153300471279</v>
      </c>
      <c r="H117" s="596"/>
      <c r="I117" s="597">
        <v>0.41470000000000001</v>
      </c>
      <c r="K117" s="598"/>
    </row>
    <row r="118" spans="1:11" x14ac:dyDescent="0.25">
      <c r="B118" s="596"/>
      <c r="C118" s="596"/>
      <c r="D118" s="596"/>
      <c r="E118" s="596"/>
      <c r="F118" s="596"/>
      <c r="G118" s="596"/>
      <c r="H118" s="596"/>
    </row>
    <row r="119" spans="1:11" x14ac:dyDescent="0.25">
      <c r="A119" s="608" t="s">
        <v>304</v>
      </c>
      <c r="B119" s="385">
        <v>0.26369116259156361</v>
      </c>
      <c r="C119" s="385">
        <v>0.25602382902858806</v>
      </c>
      <c r="D119" s="385">
        <v>0.34099125799787849</v>
      </c>
      <c r="E119" s="385">
        <v>0.25741463950125648</v>
      </c>
      <c r="F119" s="385">
        <v>0.26865035400372184</v>
      </c>
      <c r="G119" s="385">
        <v>0.28345191733552838</v>
      </c>
      <c r="H119" s="385">
        <v>0.30952307672790047</v>
      </c>
    </row>
    <row r="120" spans="1:11" x14ac:dyDescent="0.25">
      <c r="B120"/>
      <c r="C120"/>
      <c r="D120"/>
      <c r="E120"/>
      <c r="F120"/>
      <c r="G120"/>
      <c r="H120"/>
      <c r="I120"/>
    </row>
    <row r="121" spans="1:11" x14ac:dyDescent="0.25">
      <c r="A121" s="609" t="s">
        <v>127</v>
      </c>
      <c r="B121" s="610">
        <v>8.5000000000000006E-2</v>
      </c>
      <c r="C121" s="610">
        <v>8.5000000000000006E-2</v>
      </c>
      <c r="D121" s="610">
        <v>8.5000000000000006E-2</v>
      </c>
      <c r="E121" s="610">
        <v>8.5000000000000006E-2</v>
      </c>
      <c r="F121" s="610">
        <v>8.5000000000000006E-2</v>
      </c>
      <c r="G121" s="610">
        <v>8.5000000000000006E-2</v>
      </c>
      <c r="H121" s="610">
        <v>8.5000000000000006E-2</v>
      </c>
      <c r="I121" s="607" t="s">
        <v>305</v>
      </c>
    </row>
    <row r="123" spans="1:11" x14ac:dyDescent="0.25">
      <c r="A123" s="591" t="s">
        <v>306</v>
      </c>
      <c r="B123" s="592"/>
      <c r="C123" s="592"/>
      <c r="D123" s="592" t="s">
        <v>161</v>
      </c>
      <c r="E123" s="592"/>
      <c r="F123" s="592"/>
      <c r="G123" s="592"/>
      <c r="H123" s="592"/>
      <c r="I123" s="593" t="s">
        <v>186</v>
      </c>
    </row>
    <row r="124" spans="1:11" x14ac:dyDescent="0.25">
      <c r="A124" s="595" t="s">
        <v>307</v>
      </c>
      <c r="B124" s="596"/>
      <c r="C124" s="596"/>
      <c r="D124" s="603">
        <v>0.40038000000000001</v>
      </c>
      <c r="E124" s="596"/>
      <c r="F124" s="596">
        <v>0.30059999999999998</v>
      </c>
      <c r="G124" s="596">
        <v>0.39602135642135644</v>
      </c>
      <c r="H124" s="596"/>
      <c r="I124" s="604"/>
      <c r="J124" s="594">
        <v>10031</v>
      </c>
    </row>
    <row r="125" spans="1:11" x14ac:dyDescent="0.25">
      <c r="A125" s="595" t="s">
        <v>308</v>
      </c>
      <c r="B125" s="596"/>
      <c r="C125" s="596"/>
      <c r="D125" s="596"/>
      <c r="E125" s="596"/>
      <c r="F125" s="596">
        <v>0.29860000000000003</v>
      </c>
      <c r="G125" s="596"/>
      <c r="H125" s="596"/>
      <c r="I125" s="604"/>
    </row>
    <row r="126" spans="1:11" x14ac:dyDescent="0.25">
      <c r="A126" s="595" t="s">
        <v>309</v>
      </c>
      <c r="B126" s="596"/>
      <c r="C126" s="596"/>
      <c r="D126" s="596"/>
      <c r="E126" s="596"/>
      <c r="F126" s="596"/>
      <c r="G126" s="596">
        <v>0.55242344104308394</v>
      </c>
      <c r="H126" s="596"/>
      <c r="I126" s="604"/>
    </row>
    <row r="127" spans="1:11" x14ac:dyDescent="0.25">
      <c r="A127" s="595" t="s">
        <v>310</v>
      </c>
      <c r="B127" s="596"/>
      <c r="C127" s="596"/>
      <c r="D127" s="605">
        <v>0.63695335999999991</v>
      </c>
      <c r="E127" s="596"/>
      <c r="F127" s="596"/>
      <c r="G127" s="596">
        <v>0.64874235899999999</v>
      </c>
      <c r="H127" s="596"/>
      <c r="I127" s="604"/>
      <c r="J127" s="594">
        <v>13153.359802246094</v>
      </c>
    </row>
    <row r="128" spans="1:11" x14ac:dyDescent="0.25">
      <c r="A128" s="595" t="s">
        <v>311</v>
      </c>
      <c r="B128" s="596"/>
      <c r="C128" s="596"/>
      <c r="D128" s="596"/>
      <c r="E128" s="596"/>
      <c r="F128" s="596"/>
      <c r="G128" s="596">
        <v>0.31460347222222224</v>
      </c>
      <c r="H128" s="596"/>
      <c r="I128" s="604"/>
    </row>
    <row r="129" spans="1:11" x14ac:dyDescent="0.25">
      <c r="A129" s="595" t="s">
        <v>312</v>
      </c>
      <c r="B129" s="596"/>
      <c r="C129" s="596"/>
      <c r="D129" s="596"/>
      <c r="E129" s="596"/>
      <c r="F129" s="596">
        <v>0.25030000000000002</v>
      </c>
      <c r="G129" s="596"/>
      <c r="H129" s="596"/>
      <c r="I129" s="604"/>
    </row>
    <row r="130" spans="1:11" x14ac:dyDescent="0.25">
      <c r="A130" s="595" t="s">
        <v>269</v>
      </c>
      <c r="B130" s="596"/>
      <c r="C130" s="596"/>
      <c r="D130" s="605">
        <v>0.357547</v>
      </c>
      <c r="E130" s="596"/>
      <c r="F130" s="596"/>
      <c r="G130" s="596">
        <v>0.32985631469999999</v>
      </c>
      <c r="H130" s="596"/>
      <c r="I130" s="604"/>
      <c r="J130" s="611">
        <v>105365</v>
      </c>
    </row>
    <row r="131" spans="1:11" x14ac:dyDescent="0.25">
      <c r="A131" s="595" t="s">
        <v>313</v>
      </c>
      <c r="B131" s="596"/>
      <c r="C131" s="596"/>
      <c r="D131" s="596"/>
      <c r="E131" s="596"/>
      <c r="F131" s="596"/>
      <c r="G131" s="596">
        <v>0.33571633988328631</v>
      </c>
      <c r="H131" s="596"/>
      <c r="I131" s="604"/>
    </row>
    <row r="132" spans="1:11" x14ac:dyDescent="0.25">
      <c r="A132" s="595" t="s">
        <v>266</v>
      </c>
      <c r="B132" s="596"/>
      <c r="C132" s="596"/>
      <c r="D132" s="603">
        <v>0.32031999999999999</v>
      </c>
      <c r="E132" s="596"/>
      <c r="F132" s="596">
        <v>0.29099999999999998</v>
      </c>
      <c r="G132" s="596">
        <v>0.32726825024263101</v>
      </c>
      <c r="H132" s="596"/>
      <c r="I132" s="604"/>
      <c r="J132" s="594">
        <v>30329</v>
      </c>
    </row>
    <row r="133" spans="1:11" x14ac:dyDescent="0.25">
      <c r="A133" s="595" t="s">
        <v>254</v>
      </c>
      <c r="B133" s="596"/>
      <c r="C133" s="596"/>
      <c r="E133" s="596"/>
      <c r="F133" s="596"/>
      <c r="G133" s="596">
        <v>0.32450238450074514</v>
      </c>
      <c r="H133" s="596"/>
      <c r="I133" s="604"/>
    </row>
    <row r="134" spans="1:11" x14ac:dyDescent="0.25">
      <c r="A134" s="595" t="s">
        <v>314</v>
      </c>
      <c r="B134" s="596"/>
      <c r="C134" s="596"/>
      <c r="D134" s="596"/>
      <c r="E134" s="596"/>
      <c r="F134" s="596"/>
      <c r="G134" s="596">
        <v>0.30527187500000003</v>
      </c>
      <c r="H134" s="596"/>
      <c r="I134" s="604"/>
    </row>
    <row r="135" spans="1:11" x14ac:dyDescent="0.25">
      <c r="A135" s="595" t="s">
        <v>315</v>
      </c>
      <c r="B135" s="596"/>
      <c r="C135" s="596"/>
      <c r="D135" s="603">
        <v>0.34811999999999999</v>
      </c>
      <c r="E135" s="596"/>
      <c r="F135" s="596"/>
      <c r="G135" s="596"/>
      <c r="H135" s="596"/>
      <c r="I135" s="604"/>
      <c r="J135" s="594">
        <v>20462</v>
      </c>
      <c r="K135" s="598"/>
    </row>
    <row r="136" spans="1:11" x14ac:dyDescent="0.25">
      <c r="A136" s="608" t="s">
        <v>304</v>
      </c>
      <c r="B136" s="385"/>
      <c r="C136" s="385"/>
      <c r="D136" s="385"/>
      <c r="E136" s="385"/>
      <c r="F136" s="385">
        <v>0.25917553544392086</v>
      </c>
      <c r="G136" s="385">
        <v>0.36634857763463852</v>
      </c>
      <c r="H136" s="385"/>
    </row>
    <row r="149" spans="6:6" x14ac:dyDescent="0.25">
      <c r="F149" s="600">
        <v>0.33433200000000002</v>
      </c>
    </row>
  </sheetData>
  <autoFilter ref="A1:K149" xr:uid="{346A0CA3-71AF-49A2-BA3B-33317ED493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forfaits</vt:lpstr>
      <vt:lpstr>Resumen por confecciones</vt:lpstr>
      <vt:lpstr>VENTA en CAMPO</vt:lpstr>
      <vt:lpstr>PAGOS LORA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Costos</dc:creator>
  <cp:lastModifiedBy>San Sebastian SCA</cp:lastModifiedBy>
  <dcterms:created xsi:type="dcterms:W3CDTF">2015-06-05T18:19:34Z</dcterms:created>
  <dcterms:modified xsi:type="dcterms:W3CDTF">2026-04-06T12:41:33Z</dcterms:modified>
</cp:coreProperties>
</file>